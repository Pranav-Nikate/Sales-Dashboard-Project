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Project 1\"/>
    </mc:Choice>
  </mc:AlternateContent>
  <bookViews>
    <workbookView xWindow="0" yWindow="0" windowWidth="20115" windowHeight="7335" activeTab="1"/>
  </bookViews>
  <sheets>
    <sheet name="Sheet2" sheetId="3" r:id="rId1"/>
    <sheet name="ecommerce_dataset_200_rows (1)" sheetId="1" r:id="rId2"/>
  </sheets>
  <calcPr calcId="162913"/>
</workbook>
</file>

<file path=xl/calcChain.xml><?xml version="1.0" encoding="utf-8"?>
<calcChain xmlns="http://schemas.openxmlformats.org/spreadsheetml/2006/main">
  <c r="I59" i="1" l="1"/>
  <c r="I123" i="1"/>
  <c r="I183" i="1"/>
  <c r="I169" i="1"/>
  <c r="I117" i="1"/>
  <c r="I4" i="1"/>
  <c r="I156" i="1"/>
  <c r="I22" i="1"/>
  <c r="I173" i="1"/>
  <c r="I153" i="1"/>
  <c r="I56" i="1"/>
  <c r="I6" i="1"/>
  <c r="I164" i="1"/>
  <c r="I23" i="1"/>
  <c r="I18" i="1"/>
  <c r="I55" i="1"/>
  <c r="I69" i="1"/>
  <c r="I143" i="1"/>
  <c r="I87" i="1"/>
  <c r="I62" i="1"/>
  <c r="I83" i="1"/>
  <c r="I32" i="1"/>
  <c r="I37" i="1"/>
  <c r="I104" i="1"/>
  <c r="I5" i="1"/>
  <c r="I177" i="1"/>
  <c r="I188" i="1"/>
  <c r="I113" i="1"/>
  <c r="I168" i="1"/>
  <c r="I92" i="1"/>
  <c r="I57" i="1"/>
  <c r="I178" i="1"/>
  <c r="I106" i="1"/>
  <c r="I110" i="1"/>
  <c r="I196" i="1"/>
  <c r="I63" i="1"/>
  <c r="I12" i="1"/>
  <c r="I152" i="1"/>
  <c r="I174" i="1"/>
  <c r="I96" i="1"/>
  <c r="I44" i="1"/>
  <c r="I27" i="1"/>
  <c r="I70" i="1"/>
  <c r="I154" i="1"/>
  <c r="I98" i="1"/>
  <c r="I100" i="1"/>
  <c r="I42" i="1"/>
  <c r="I145" i="1"/>
  <c r="I85" i="1"/>
  <c r="I47" i="1"/>
  <c r="I111" i="1"/>
  <c r="I2" i="1"/>
  <c r="I8" i="1"/>
  <c r="I151" i="1"/>
  <c r="I172" i="1"/>
  <c r="I105" i="1"/>
  <c r="I197" i="1"/>
  <c r="I19" i="1"/>
  <c r="I20" i="1"/>
  <c r="I129" i="1"/>
  <c r="I34" i="1"/>
  <c r="I33" i="1"/>
  <c r="I170" i="1"/>
  <c r="I77" i="1"/>
  <c r="I190" i="1"/>
  <c r="I49" i="1"/>
  <c r="I141" i="1"/>
  <c r="I65" i="1"/>
  <c r="I71" i="1"/>
  <c r="I17" i="1"/>
  <c r="I165" i="1"/>
  <c r="I122" i="1"/>
  <c r="I121" i="1"/>
  <c r="I53" i="1"/>
  <c r="I13" i="1"/>
  <c r="I160" i="1"/>
  <c r="I119" i="1"/>
  <c r="I58" i="1"/>
  <c r="I135" i="1"/>
  <c r="I167" i="1"/>
  <c r="I130" i="1"/>
  <c r="I131" i="1"/>
  <c r="I35" i="1"/>
  <c r="I90" i="1"/>
  <c r="I101" i="1"/>
  <c r="I114" i="1"/>
  <c r="I16" i="1"/>
  <c r="I149" i="1"/>
  <c r="I187" i="1"/>
  <c r="I66" i="1"/>
  <c r="I15" i="1"/>
  <c r="I157" i="1"/>
  <c r="I146" i="1"/>
  <c r="I24" i="1"/>
  <c r="I179" i="1"/>
  <c r="I182" i="1"/>
  <c r="I43" i="1"/>
  <c r="I97" i="1"/>
  <c r="I191" i="1"/>
  <c r="I10" i="1"/>
  <c r="I166" i="1"/>
  <c r="I194" i="1"/>
  <c r="I54" i="1"/>
  <c r="I52" i="1"/>
  <c r="I95" i="1"/>
  <c r="I76" i="1"/>
  <c r="I120" i="1"/>
  <c r="I61" i="1"/>
  <c r="I184" i="1"/>
  <c r="I132" i="1"/>
  <c r="I91" i="1"/>
  <c r="I45" i="1"/>
  <c r="I159" i="1"/>
  <c r="I51" i="1"/>
  <c r="I36" i="1"/>
  <c r="I118" i="1"/>
  <c r="I28" i="1"/>
  <c r="I175" i="1"/>
  <c r="I29" i="1"/>
  <c r="I134" i="1"/>
  <c r="I137" i="1"/>
  <c r="I128" i="1"/>
  <c r="I3" i="1"/>
  <c r="I11" i="1"/>
  <c r="I185" i="1"/>
  <c r="I193" i="1"/>
  <c r="I140" i="1"/>
  <c r="I30" i="1"/>
  <c r="I48" i="1"/>
  <c r="I139" i="1"/>
  <c r="I176" i="1"/>
  <c r="I68" i="1"/>
  <c r="I189" i="1"/>
  <c r="I84" i="1"/>
  <c r="I162" i="1"/>
  <c r="I31" i="1"/>
  <c r="I171" i="1"/>
  <c r="I198" i="1"/>
  <c r="I82" i="1"/>
  <c r="I73" i="1"/>
  <c r="I199" i="1"/>
  <c r="I38" i="1"/>
  <c r="I125" i="1"/>
  <c r="I60" i="1"/>
  <c r="I7" i="1"/>
  <c r="I74" i="1"/>
  <c r="I201" i="1"/>
  <c r="I138" i="1"/>
  <c r="I94" i="1"/>
  <c r="I116" i="1"/>
  <c r="I21" i="1"/>
  <c r="I67" i="1"/>
  <c r="I150" i="1"/>
  <c r="I99" i="1"/>
  <c r="I180" i="1"/>
  <c r="I25" i="1"/>
  <c r="I86" i="1"/>
  <c r="I93" i="1"/>
  <c r="I126" i="1"/>
  <c r="I136" i="1"/>
  <c r="I192" i="1"/>
  <c r="I81" i="1"/>
  <c r="I102" i="1"/>
  <c r="I46" i="1"/>
  <c r="I14" i="1"/>
  <c r="I142" i="1"/>
  <c r="I124" i="1"/>
  <c r="I181" i="1"/>
  <c r="I155" i="1"/>
  <c r="I195" i="1"/>
  <c r="I158" i="1"/>
  <c r="I75" i="1"/>
  <c r="I186" i="1"/>
  <c r="I72" i="1"/>
  <c r="I148" i="1"/>
  <c r="I163" i="1"/>
  <c r="I89" i="1"/>
  <c r="I9" i="1"/>
  <c r="I161" i="1"/>
  <c r="I50" i="1"/>
  <c r="I103" i="1"/>
  <c r="I41" i="1"/>
  <c r="I64" i="1"/>
  <c r="I127" i="1"/>
  <c r="I108" i="1"/>
  <c r="I200" i="1"/>
  <c r="I80" i="1"/>
  <c r="I109" i="1"/>
  <c r="I112" i="1"/>
  <c r="I40" i="1"/>
  <c r="I88" i="1"/>
  <c r="I147" i="1"/>
  <c r="I78" i="1"/>
  <c r="I39" i="1"/>
  <c r="I144" i="1"/>
  <c r="I107" i="1"/>
  <c r="I115" i="1"/>
  <c r="I133" i="1"/>
  <c r="I26" i="1"/>
  <c r="I79" i="1"/>
</calcChain>
</file>

<file path=xl/sharedStrings.xml><?xml version="1.0" encoding="utf-8"?>
<sst xmlns="http://schemas.openxmlformats.org/spreadsheetml/2006/main" count="1011" uniqueCount="44">
  <si>
    <t>Order_ID</t>
  </si>
  <si>
    <t>Order_Date</t>
  </si>
  <si>
    <t>Customer_Name</t>
  </si>
  <si>
    <t>City</t>
  </si>
  <si>
    <t>Product</t>
  </si>
  <si>
    <t>Category</t>
  </si>
  <si>
    <t>Quantity</t>
  </si>
  <si>
    <t>Unit_Price</t>
  </si>
  <si>
    <t>Discount_%</t>
  </si>
  <si>
    <t>Sales</t>
  </si>
  <si>
    <t>Payment_Method</t>
  </si>
  <si>
    <t>Rohan</t>
  </si>
  <si>
    <t>Delhi</t>
  </si>
  <si>
    <t>Notebook</t>
  </si>
  <si>
    <t>Stationery</t>
  </si>
  <si>
    <t>Net Banking</t>
  </si>
  <si>
    <t>Anjali</t>
  </si>
  <si>
    <t>Ahmedabad</t>
  </si>
  <si>
    <t>Monitor</t>
  </si>
  <si>
    <t>Electronics</t>
  </si>
  <si>
    <t>UPI</t>
  </si>
  <si>
    <t>Priya</t>
  </si>
  <si>
    <t>Chennai</t>
  </si>
  <si>
    <t>Mouse</t>
  </si>
  <si>
    <t>Bengaluru</t>
  </si>
  <si>
    <t>Credit Card</t>
  </si>
  <si>
    <t>Karan</t>
  </si>
  <si>
    <t>Rahul</t>
  </si>
  <si>
    <t>Mumbai</t>
  </si>
  <si>
    <t>Debit Card</t>
  </si>
  <si>
    <t>Chair</t>
  </si>
  <si>
    <t>Furniture</t>
  </si>
  <si>
    <t>Pune</t>
  </si>
  <si>
    <t>Laptop</t>
  </si>
  <si>
    <t>Pen</t>
  </si>
  <si>
    <t>Amit</t>
  </si>
  <si>
    <t>Desk</t>
  </si>
  <si>
    <t>Cash</t>
  </si>
  <si>
    <t>Vikas</t>
  </si>
  <si>
    <t>Sneha</t>
  </si>
  <si>
    <t>Hyderabad</t>
  </si>
  <si>
    <t>Keyboard</t>
  </si>
  <si>
    <t>Pooja</t>
  </si>
  <si>
    <t>Neha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</si>
</sst>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6">
    <xf numFmtId="0" fontId="0" fillId="0" borderId="0" xfId="0"/>
    <xf numFmtId="14" fontId="0" fillId="0" borderId="0" xfId="0" applyNumberFormat="1"/>
    <xf numFmtId="9" fontId="0" fillId="0" borderId="0" xfId="42" applyFont="1"/>
    <xf numFmtId="0" fontId="0" fillId="0" borderId="0" xfId="0" applyNumberFormat="1"/>
    <xf numFmtId="0" fontId="0" fillId="0" borderId="0" xfId="0" applyBorder="1"/>
    <xf numFmtId="0" fontId="0" fillId="0" borderId="0" xfId="0" applyAlignment="1">
      <alignment horizontal="lef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0" formatCode="General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123825</xdr:colOff>
      <xdr:row>16</xdr:row>
      <xdr:rowOff>95250</xdr:rowOff>
    </xdr:from>
    <xdr:to>
      <xdr:col>20</xdr:col>
      <xdr:colOff>371475</xdr:colOff>
      <xdr:row>17</xdr:row>
      <xdr:rowOff>133350</xdr:rowOff>
    </xdr:to>
    <xdr:sp macro="" textlink="">
      <xdr:nvSpPr>
        <xdr:cNvPr id="13" name="TextBox 12"/>
        <xdr:cNvSpPr txBox="1"/>
      </xdr:nvSpPr>
      <xdr:spPr>
        <a:xfrm>
          <a:off x="16182975" y="3143250"/>
          <a:ext cx="857250" cy="228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</xdr:wsDr>
</file>

<file path=xl/tables/table1.xml><?xml version="1.0" encoding="utf-8"?>
<table xmlns="http://schemas.openxmlformats.org/spreadsheetml/2006/main" id="1" name="Table1" displayName="Table1" ref="A1:K201">
  <autoFilter ref="A1:K201">
    <filterColumn colId="5">
      <filters>
        <filter val="Electronics"/>
      </filters>
    </filterColumn>
  </autoFilter>
  <tableColumns count="11">
    <tableColumn id="1" name="Order_ID" totalsRowLabel="Total"/>
    <tableColumn id="2" name="Order_Date" dataDxfId="1"/>
    <tableColumn id="3" name="Customer_Name"/>
    <tableColumn id="4" name="City"/>
    <tableColumn id="5" name="Product"/>
    <tableColumn id="6" name="Category"/>
    <tableColumn id="7" name="Quantity"/>
    <tableColumn id="8" name="Unit_Price"/>
    <tableColumn id="9" name="Discount_%" totalsRowDxfId="0" dataCellStyle="Percent">
      <calculatedColumnFormula>Table1[[#This Row],[Discount_%]]/100</calculatedColumnFormula>
    </tableColumn>
    <tableColumn id="10" name="Sales"/>
    <tableColumn id="11" name="Payment_Metho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3" sqref="A3"/>
    </sheetView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01"/>
  <sheetViews>
    <sheetView tabSelected="1" workbookViewId="0">
      <selection activeCell="M15" sqref="M15"/>
    </sheetView>
  </sheetViews>
  <sheetFormatPr defaultRowHeight="15" x14ac:dyDescent="0.25"/>
  <cols>
    <col min="1" max="1" width="11.140625" customWidth="1"/>
    <col min="2" max="2" width="13.42578125" customWidth="1"/>
    <col min="3" max="3" width="18" customWidth="1"/>
    <col min="5" max="5" width="10" customWidth="1"/>
    <col min="6" max="6" width="11" customWidth="1"/>
    <col min="7" max="7" width="10.85546875" customWidth="1"/>
    <col min="8" max="8" width="12.42578125" customWidth="1"/>
    <col min="9" max="9" width="13.42578125" style="2" customWidth="1"/>
    <col min="11" max="11" width="19.140625" customWidth="1"/>
    <col min="12" max="12" width="9.140625" style="4"/>
    <col min="13" max="13" width="13.140625" bestFit="1" customWidth="1"/>
    <col min="14" max="14" width="15.5703125" bestFit="1" customWidth="1"/>
    <col min="17" max="17" width="13.140625" customWidth="1"/>
    <col min="18" max="18" width="15.5703125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2" t="s">
        <v>8</v>
      </c>
      <c r="J1" t="s">
        <v>9</v>
      </c>
      <c r="K1" t="s">
        <v>10</v>
      </c>
    </row>
    <row r="2" spans="1:18" hidden="1" x14ac:dyDescent="0.25">
      <c r="A2">
        <v>1001</v>
      </c>
      <c r="B2" s="1">
        <v>46171</v>
      </c>
      <c r="C2" t="s">
        <v>11</v>
      </c>
      <c r="D2" t="s">
        <v>12</v>
      </c>
      <c r="E2" t="s">
        <v>13</v>
      </c>
      <c r="F2" t="s">
        <v>14</v>
      </c>
      <c r="G2">
        <v>5</v>
      </c>
      <c r="H2">
        <v>80</v>
      </c>
      <c r="I2" s="2">
        <f ca="1">Table1[[#This Row],[Discount_%]]/100</f>
        <v>0.15</v>
      </c>
      <c r="J2">
        <v>340</v>
      </c>
      <c r="K2" t="s">
        <v>15</v>
      </c>
    </row>
    <row r="3" spans="1:18" x14ac:dyDescent="0.25">
      <c r="A3">
        <v>1002</v>
      </c>
      <c r="B3" s="1">
        <v>46023</v>
      </c>
      <c r="C3" t="s">
        <v>16</v>
      </c>
      <c r="D3" t="s">
        <v>17</v>
      </c>
      <c r="E3" t="s">
        <v>18</v>
      </c>
      <c r="F3" t="s">
        <v>19</v>
      </c>
      <c r="G3">
        <v>1</v>
      </c>
      <c r="H3">
        <v>15000</v>
      </c>
      <c r="I3" s="2">
        <f ca="1">Table1[[#This Row],[Discount_%]]/100</f>
        <v>0.15</v>
      </c>
      <c r="J3">
        <v>12750</v>
      </c>
      <c r="K3" t="s">
        <v>20</v>
      </c>
    </row>
    <row r="4" spans="1:18" x14ac:dyDescent="0.25">
      <c r="A4">
        <v>1003</v>
      </c>
      <c r="B4" s="1">
        <v>46063</v>
      </c>
      <c r="C4" t="s">
        <v>21</v>
      </c>
      <c r="D4" t="s">
        <v>22</v>
      </c>
      <c r="E4" t="s">
        <v>23</v>
      </c>
      <c r="F4" t="s">
        <v>19</v>
      </c>
      <c r="G4">
        <v>3</v>
      </c>
      <c r="H4">
        <v>700</v>
      </c>
      <c r="I4" s="2">
        <f ca="1">Table1[[#This Row],[Discount_%]]/100</f>
        <v>0.15</v>
      </c>
      <c r="J4">
        <v>1785</v>
      </c>
      <c r="K4" t="s">
        <v>15</v>
      </c>
      <c r="M4" s="5"/>
      <c r="N4" s="3"/>
      <c r="Q4" s="5"/>
      <c r="R4" s="3"/>
    </row>
    <row r="5" spans="1:18" hidden="1" x14ac:dyDescent="0.25">
      <c r="A5">
        <v>1004</v>
      </c>
      <c r="B5" s="1">
        <v>46041</v>
      </c>
      <c r="C5" t="s">
        <v>16</v>
      </c>
      <c r="D5" t="s">
        <v>24</v>
      </c>
      <c r="E5" t="s">
        <v>13</v>
      </c>
      <c r="F5" t="s">
        <v>14</v>
      </c>
      <c r="G5">
        <v>2</v>
      </c>
      <c r="H5">
        <v>80</v>
      </c>
      <c r="I5" s="2">
        <f ca="1">Table1[[#This Row],[Discount_%]]/100</f>
        <v>0.1</v>
      </c>
      <c r="J5">
        <v>144</v>
      </c>
      <c r="K5" t="s">
        <v>25</v>
      </c>
      <c r="M5" s="5"/>
      <c r="N5" s="3"/>
      <c r="Q5" s="5"/>
      <c r="R5" s="3"/>
    </row>
    <row r="6" spans="1:18" x14ac:dyDescent="0.25">
      <c r="A6">
        <v>1005</v>
      </c>
      <c r="B6" s="1">
        <v>46197</v>
      </c>
      <c r="C6" t="s">
        <v>26</v>
      </c>
      <c r="D6" t="s">
        <v>12</v>
      </c>
      <c r="E6" t="s">
        <v>23</v>
      </c>
      <c r="F6" t="s">
        <v>19</v>
      </c>
      <c r="G6">
        <v>3</v>
      </c>
      <c r="H6">
        <v>700</v>
      </c>
      <c r="I6" s="2">
        <f ca="1">Table1[[#This Row],[Discount_%]]/100</f>
        <v>0.1</v>
      </c>
      <c r="J6">
        <v>1890</v>
      </c>
      <c r="K6" t="s">
        <v>20</v>
      </c>
      <c r="M6" s="5"/>
      <c r="N6" s="3"/>
      <c r="Q6" s="5"/>
      <c r="R6" s="3"/>
    </row>
    <row r="7" spans="1:18" hidden="1" x14ac:dyDescent="0.25">
      <c r="A7">
        <v>1006</v>
      </c>
      <c r="B7" s="1">
        <v>46076</v>
      </c>
      <c r="C7" t="s">
        <v>11</v>
      </c>
      <c r="D7" t="s">
        <v>12</v>
      </c>
      <c r="E7" t="s">
        <v>13</v>
      </c>
      <c r="F7" t="s">
        <v>14</v>
      </c>
      <c r="G7">
        <v>3</v>
      </c>
      <c r="H7">
        <v>80</v>
      </c>
      <c r="I7" s="2">
        <f ca="1">Table1[[#This Row],[Discount_%]]/100</f>
        <v>0.15</v>
      </c>
      <c r="J7">
        <v>204</v>
      </c>
      <c r="K7" t="s">
        <v>20</v>
      </c>
      <c r="M7" s="5"/>
      <c r="N7" s="3"/>
      <c r="Q7" s="5"/>
      <c r="R7" s="3"/>
    </row>
    <row r="8" spans="1:18" x14ac:dyDescent="0.25">
      <c r="A8">
        <v>1007</v>
      </c>
      <c r="B8" s="1">
        <v>46135</v>
      </c>
      <c r="C8" t="s">
        <v>27</v>
      </c>
      <c r="D8" t="s">
        <v>28</v>
      </c>
      <c r="E8" t="s">
        <v>18</v>
      </c>
      <c r="F8" t="s">
        <v>19</v>
      </c>
      <c r="G8">
        <v>3</v>
      </c>
      <c r="H8">
        <v>15000</v>
      </c>
      <c r="I8" s="2">
        <f ca="1">Table1[[#This Row],[Discount_%]]/100</f>
        <v>0.05</v>
      </c>
      <c r="J8">
        <v>42750</v>
      </c>
      <c r="K8" t="s">
        <v>20</v>
      </c>
      <c r="Q8" s="5"/>
      <c r="R8" s="3"/>
    </row>
    <row r="9" spans="1:18" x14ac:dyDescent="0.25">
      <c r="A9">
        <v>1008</v>
      </c>
      <c r="B9" s="1">
        <v>46142</v>
      </c>
      <c r="C9" t="s">
        <v>27</v>
      </c>
      <c r="D9" t="s">
        <v>12</v>
      </c>
      <c r="E9" t="s">
        <v>18</v>
      </c>
      <c r="F9" t="s">
        <v>19</v>
      </c>
      <c r="G9">
        <v>5</v>
      </c>
      <c r="H9">
        <v>15000</v>
      </c>
      <c r="I9" s="2">
        <f ca="1">Table1[[#This Row],[Discount_%]]/100</f>
        <v>0.1</v>
      </c>
      <c r="J9">
        <v>67500</v>
      </c>
      <c r="K9" t="s">
        <v>29</v>
      </c>
      <c r="Q9" s="5"/>
      <c r="R9" s="3"/>
    </row>
    <row r="10" spans="1:18" hidden="1" x14ac:dyDescent="0.25">
      <c r="A10">
        <v>1009</v>
      </c>
      <c r="B10" s="1">
        <v>46140</v>
      </c>
      <c r="C10" t="s">
        <v>11</v>
      </c>
      <c r="D10" t="s">
        <v>28</v>
      </c>
      <c r="E10" t="s">
        <v>30</v>
      </c>
      <c r="F10" t="s">
        <v>31</v>
      </c>
      <c r="G10">
        <v>5</v>
      </c>
      <c r="H10">
        <v>8500</v>
      </c>
      <c r="I10" s="2">
        <f ca="1">Table1[[#This Row],[Discount_%]]/100</f>
        <v>0.05</v>
      </c>
      <c r="J10">
        <v>40375</v>
      </c>
      <c r="K10" t="s">
        <v>29</v>
      </c>
      <c r="Q10" s="5"/>
      <c r="R10" s="3"/>
    </row>
    <row r="11" spans="1:18" x14ac:dyDescent="0.25">
      <c r="A11">
        <v>1010</v>
      </c>
      <c r="B11" s="1">
        <v>46049</v>
      </c>
      <c r="C11" t="s">
        <v>11</v>
      </c>
      <c r="D11" t="s">
        <v>32</v>
      </c>
      <c r="E11" t="s">
        <v>33</v>
      </c>
      <c r="F11" t="s">
        <v>19</v>
      </c>
      <c r="G11">
        <v>4</v>
      </c>
      <c r="H11">
        <v>65000</v>
      </c>
      <c r="I11" s="2">
        <f ca="1">Table1[[#This Row],[Discount_%]]/100</f>
        <v>0.15</v>
      </c>
      <c r="J11">
        <v>221000</v>
      </c>
      <c r="K11" t="s">
        <v>29</v>
      </c>
    </row>
    <row r="12" spans="1:18" hidden="1" x14ac:dyDescent="0.25">
      <c r="A12">
        <v>1011</v>
      </c>
      <c r="B12" s="1">
        <v>46025</v>
      </c>
      <c r="C12" t="s">
        <v>26</v>
      </c>
      <c r="D12" t="s">
        <v>22</v>
      </c>
      <c r="E12" t="s">
        <v>34</v>
      </c>
      <c r="F12" t="s">
        <v>14</v>
      </c>
      <c r="G12">
        <v>2</v>
      </c>
      <c r="H12">
        <v>20</v>
      </c>
      <c r="I12" s="2">
        <f ca="1">Table1[[#This Row],[Discount_%]]/100</f>
        <v>0.05</v>
      </c>
      <c r="J12">
        <v>38</v>
      </c>
      <c r="K12" t="s">
        <v>15</v>
      </c>
    </row>
    <row r="13" spans="1:18" hidden="1" x14ac:dyDescent="0.25">
      <c r="A13">
        <v>1012</v>
      </c>
      <c r="B13" s="1">
        <v>46089</v>
      </c>
      <c r="C13" t="s">
        <v>35</v>
      </c>
      <c r="D13" t="s">
        <v>17</v>
      </c>
      <c r="E13" t="s">
        <v>36</v>
      </c>
      <c r="F13" t="s">
        <v>31</v>
      </c>
      <c r="G13">
        <v>2</v>
      </c>
      <c r="H13">
        <v>12000</v>
      </c>
      <c r="I13" s="2">
        <f ca="1">Table1[[#This Row],[Discount_%]]/100</f>
        <v>0</v>
      </c>
      <c r="J13">
        <v>24000</v>
      </c>
      <c r="K13" t="s">
        <v>37</v>
      </c>
    </row>
    <row r="14" spans="1:18" hidden="1" x14ac:dyDescent="0.25">
      <c r="A14">
        <v>1013</v>
      </c>
      <c r="B14" s="1">
        <v>46203</v>
      </c>
      <c r="C14" t="s">
        <v>38</v>
      </c>
      <c r="D14" t="s">
        <v>24</v>
      </c>
      <c r="E14" t="s">
        <v>36</v>
      </c>
      <c r="F14" t="s">
        <v>31</v>
      </c>
      <c r="G14">
        <v>5</v>
      </c>
      <c r="H14">
        <v>12000</v>
      </c>
      <c r="I14" s="2">
        <f ca="1">Table1[[#This Row],[Discount_%]]/100</f>
        <v>0.05</v>
      </c>
      <c r="J14">
        <v>57000</v>
      </c>
      <c r="K14" t="s">
        <v>15</v>
      </c>
      <c r="M14" s="5"/>
      <c r="N14" s="3"/>
      <c r="Q14" s="5"/>
      <c r="R14" s="3"/>
    </row>
    <row r="15" spans="1:18" x14ac:dyDescent="0.25">
      <c r="A15">
        <v>1014</v>
      </c>
      <c r="B15" s="1">
        <v>46195</v>
      </c>
      <c r="C15" t="s">
        <v>27</v>
      </c>
      <c r="D15" t="s">
        <v>24</v>
      </c>
      <c r="E15" t="s">
        <v>23</v>
      </c>
      <c r="F15" t="s">
        <v>19</v>
      </c>
      <c r="G15">
        <v>4</v>
      </c>
      <c r="H15">
        <v>700</v>
      </c>
      <c r="I15" s="2">
        <f ca="1">Table1[[#This Row],[Discount_%]]/100</f>
        <v>0.1</v>
      </c>
      <c r="J15">
        <v>2520</v>
      </c>
      <c r="K15" t="s">
        <v>20</v>
      </c>
      <c r="M15" s="5"/>
      <c r="N15" s="3"/>
      <c r="Q15" s="5"/>
      <c r="R15" s="3"/>
    </row>
    <row r="16" spans="1:18" x14ac:dyDescent="0.25">
      <c r="A16">
        <v>1015</v>
      </c>
      <c r="B16" s="1">
        <v>46029</v>
      </c>
      <c r="C16" t="s">
        <v>39</v>
      </c>
      <c r="D16" t="s">
        <v>12</v>
      </c>
      <c r="E16" t="s">
        <v>18</v>
      </c>
      <c r="F16" t="s">
        <v>19</v>
      </c>
      <c r="G16">
        <v>2</v>
      </c>
      <c r="H16">
        <v>15000</v>
      </c>
      <c r="I16" s="2">
        <f ca="1">Table1[[#This Row],[Discount_%]]/100</f>
        <v>0.1</v>
      </c>
      <c r="J16">
        <v>27000</v>
      </c>
      <c r="K16" t="s">
        <v>37</v>
      </c>
      <c r="M16" s="5"/>
      <c r="N16" s="3"/>
      <c r="Q16" s="5"/>
      <c r="R16" s="3"/>
    </row>
    <row r="17" spans="1:18" x14ac:dyDescent="0.25">
      <c r="A17">
        <v>1016</v>
      </c>
      <c r="B17" s="1">
        <v>46132</v>
      </c>
      <c r="C17" t="s">
        <v>26</v>
      </c>
      <c r="D17" t="s">
        <v>32</v>
      </c>
      <c r="E17" t="s">
        <v>23</v>
      </c>
      <c r="F17" t="s">
        <v>19</v>
      </c>
      <c r="G17">
        <v>2</v>
      </c>
      <c r="H17">
        <v>700</v>
      </c>
      <c r="I17" s="2">
        <f ca="1">Table1[[#This Row],[Discount_%]]/100</f>
        <v>0.05</v>
      </c>
      <c r="J17">
        <v>1330</v>
      </c>
      <c r="K17" t="s">
        <v>20</v>
      </c>
      <c r="M17" s="5"/>
      <c r="N17" s="3"/>
      <c r="Q17" s="5"/>
      <c r="R17" s="3"/>
    </row>
    <row r="18" spans="1:18" x14ac:dyDescent="0.25">
      <c r="A18">
        <v>1017</v>
      </c>
      <c r="B18" s="1">
        <v>46035</v>
      </c>
      <c r="C18" t="s">
        <v>21</v>
      </c>
      <c r="D18" t="s">
        <v>40</v>
      </c>
      <c r="E18" t="s">
        <v>41</v>
      </c>
      <c r="F18" t="s">
        <v>19</v>
      </c>
      <c r="G18">
        <v>2</v>
      </c>
      <c r="H18">
        <v>1500</v>
      </c>
      <c r="I18" s="2">
        <f ca="1">Table1[[#This Row],[Discount_%]]/100</f>
        <v>0</v>
      </c>
      <c r="J18">
        <v>3000</v>
      </c>
      <c r="K18" t="s">
        <v>25</v>
      </c>
      <c r="M18" s="5"/>
      <c r="N18" s="3"/>
      <c r="Q18" s="5"/>
      <c r="R18" s="3"/>
    </row>
    <row r="19" spans="1:18" x14ac:dyDescent="0.25">
      <c r="A19">
        <v>1018</v>
      </c>
      <c r="B19" s="1">
        <v>46082</v>
      </c>
      <c r="C19" t="s">
        <v>16</v>
      </c>
      <c r="D19" t="s">
        <v>28</v>
      </c>
      <c r="E19" t="s">
        <v>33</v>
      </c>
      <c r="F19" t="s">
        <v>19</v>
      </c>
      <c r="G19">
        <v>3</v>
      </c>
      <c r="H19">
        <v>65000</v>
      </c>
      <c r="I19" s="2">
        <f ca="1">Table1[[#This Row],[Discount_%]]/100</f>
        <v>0.05</v>
      </c>
      <c r="J19">
        <v>185250</v>
      </c>
      <c r="K19" t="s">
        <v>37</v>
      </c>
      <c r="M19" s="5"/>
      <c r="N19" s="3"/>
      <c r="Q19" s="5"/>
      <c r="R19" s="3"/>
    </row>
    <row r="20" spans="1:18" x14ac:dyDescent="0.25">
      <c r="A20">
        <v>1019</v>
      </c>
      <c r="B20" s="1">
        <v>46124</v>
      </c>
      <c r="C20" t="s">
        <v>38</v>
      </c>
      <c r="D20" t="s">
        <v>24</v>
      </c>
      <c r="E20" t="s">
        <v>23</v>
      </c>
      <c r="F20" t="s">
        <v>19</v>
      </c>
      <c r="G20">
        <v>3</v>
      </c>
      <c r="H20">
        <v>700</v>
      </c>
      <c r="I20" s="2">
        <f ca="1">Table1[[#This Row],[Discount_%]]/100</f>
        <v>0.1</v>
      </c>
      <c r="J20">
        <v>1890</v>
      </c>
      <c r="K20" t="s">
        <v>20</v>
      </c>
      <c r="Q20" s="5"/>
      <c r="R20" s="3"/>
    </row>
    <row r="21" spans="1:18" x14ac:dyDescent="0.25">
      <c r="A21">
        <v>1020</v>
      </c>
      <c r="B21" s="1">
        <v>46114</v>
      </c>
      <c r="C21" t="s">
        <v>42</v>
      </c>
      <c r="D21" t="s">
        <v>22</v>
      </c>
      <c r="E21" t="s">
        <v>41</v>
      </c>
      <c r="F21" t="s">
        <v>19</v>
      </c>
      <c r="G21">
        <v>4</v>
      </c>
      <c r="H21">
        <v>1500</v>
      </c>
      <c r="I21" s="2">
        <f ca="1">Table1[[#This Row],[Discount_%]]/100</f>
        <v>0.05</v>
      </c>
      <c r="J21">
        <v>5700</v>
      </c>
      <c r="K21" t="s">
        <v>15</v>
      </c>
      <c r="Q21" s="5"/>
      <c r="R21" s="3"/>
    </row>
    <row r="22" spans="1:18" hidden="1" x14ac:dyDescent="0.25">
      <c r="A22">
        <v>1021</v>
      </c>
      <c r="B22" s="1">
        <v>46063</v>
      </c>
      <c r="C22" t="s">
        <v>27</v>
      </c>
      <c r="D22" t="s">
        <v>32</v>
      </c>
      <c r="E22" t="s">
        <v>13</v>
      </c>
      <c r="F22" t="s">
        <v>14</v>
      </c>
      <c r="G22">
        <v>3</v>
      </c>
      <c r="H22">
        <v>80</v>
      </c>
      <c r="I22" s="2">
        <f ca="1">Table1[[#This Row],[Discount_%]]/100</f>
        <v>0</v>
      </c>
      <c r="J22">
        <v>240</v>
      </c>
      <c r="K22" t="s">
        <v>29</v>
      </c>
      <c r="Q22" s="5"/>
      <c r="R22" s="3"/>
    </row>
    <row r="23" spans="1:18" hidden="1" x14ac:dyDescent="0.25">
      <c r="A23">
        <v>1022</v>
      </c>
      <c r="B23" s="1">
        <v>46142</v>
      </c>
      <c r="C23" t="s">
        <v>26</v>
      </c>
      <c r="D23" t="s">
        <v>22</v>
      </c>
      <c r="E23" t="s">
        <v>36</v>
      </c>
      <c r="F23" t="s">
        <v>31</v>
      </c>
      <c r="G23">
        <v>5</v>
      </c>
      <c r="H23">
        <v>12000</v>
      </c>
      <c r="I23" s="2">
        <f ca="1">Table1[[#This Row],[Discount_%]]/100</f>
        <v>0</v>
      </c>
      <c r="J23">
        <v>60000</v>
      </c>
      <c r="K23" t="s">
        <v>29</v>
      </c>
      <c r="Q23" s="5"/>
      <c r="R23" s="3"/>
    </row>
    <row r="24" spans="1:18" hidden="1" x14ac:dyDescent="0.25">
      <c r="A24">
        <v>1023</v>
      </c>
      <c r="B24" s="1">
        <v>46194</v>
      </c>
      <c r="C24" t="s">
        <v>21</v>
      </c>
      <c r="D24" t="s">
        <v>22</v>
      </c>
      <c r="E24" t="s">
        <v>34</v>
      </c>
      <c r="F24" t="s">
        <v>14</v>
      </c>
      <c r="G24">
        <v>4</v>
      </c>
      <c r="H24">
        <v>20</v>
      </c>
      <c r="I24" s="2">
        <f ca="1">Table1[[#This Row],[Discount_%]]/100</f>
        <v>0.15</v>
      </c>
      <c r="J24">
        <v>68</v>
      </c>
      <c r="K24" t="s">
        <v>37</v>
      </c>
      <c r="Q24" s="5"/>
      <c r="R24" s="3"/>
    </row>
    <row r="25" spans="1:18" hidden="1" x14ac:dyDescent="0.25">
      <c r="A25">
        <v>1024</v>
      </c>
      <c r="B25" s="1">
        <v>46109</v>
      </c>
      <c r="C25" t="s">
        <v>27</v>
      </c>
      <c r="D25" t="s">
        <v>22</v>
      </c>
      <c r="E25" t="s">
        <v>30</v>
      </c>
      <c r="F25" t="s">
        <v>31</v>
      </c>
      <c r="G25">
        <v>4</v>
      </c>
      <c r="H25">
        <v>8500</v>
      </c>
      <c r="I25" s="2">
        <f ca="1">Table1[[#This Row],[Discount_%]]/100</f>
        <v>0.05</v>
      </c>
      <c r="J25">
        <v>32300</v>
      </c>
      <c r="K25" t="s">
        <v>25</v>
      </c>
    </row>
    <row r="26" spans="1:18" hidden="1" x14ac:dyDescent="0.25">
      <c r="A26">
        <v>1025</v>
      </c>
      <c r="B26" s="1">
        <v>46179</v>
      </c>
      <c r="C26" t="s">
        <v>27</v>
      </c>
      <c r="D26" t="s">
        <v>40</v>
      </c>
      <c r="E26" t="s">
        <v>34</v>
      </c>
      <c r="F26" t="s">
        <v>14</v>
      </c>
      <c r="G26">
        <v>1</v>
      </c>
      <c r="H26">
        <v>20</v>
      </c>
      <c r="I26" s="2">
        <f ca="1">Table1[[#This Row],[Discount_%]]/100</f>
        <v>0.15</v>
      </c>
      <c r="J26">
        <v>17</v>
      </c>
      <c r="K26" t="s">
        <v>25</v>
      </c>
    </row>
    <row r="27" spans="1:18" x14ac:dyDescent="0.25">
      <c r="A27">
        <v>1026</v>
      </c>
      <c r="B27" s="1">
        <v>46053</v>
      </c>
      <c r="C27" t="s">
        <v>27</v>
      </c>
      <c r="D27" t="s">
        <v>24</v>
      </c>
      <c r="E27" t="s">
        <v>18</v>
      </c>
      <c r="F27" t="s">
        <v>19</v>
      </c>
      <c r="G27">
        <v>5</v>
      </c>
      <c r="H27">
        <v>15000</v>
      </c>
      <c r="I27" s="2">
        <f ca="1">Table1[[#This Row],[Discount_%]]/100</f>
        <v>0.05</v>
      </c>
      <c r="J27">
        <v>71250</v>
      </c>
      <c r="K27" t="s">
        <v>25</v>
      </c>
    </row>
    <row r="28" spans="1:18" x14ac:dyDescent="0.25">
      <c r="A28">
        <v>1027</v>
      </c>
      <c r="B28" s="1">
        <v>46029</v>
      </c>
      <c r="C28" t="s">
        <v>21</v>
      </c>
      <c r="D28" t="s">
        <v>32</v>
      </c>
      <c r="E28" t="s">
        <v>41</v>
      </c>
      <c r="F28" t="s">
        <v>19</v>
      </c>
      <c r="G28">
        <v>3</v>
      </c>
      <c r="H28">
        <v>1500</v>
      </c>
      <c r="I28" s="2">
        <f ca="1">Table1[[#This Row],[Discount_%]]/100</f>
        <v>0.05</v>
      </c>
      <c r="J28">
        <v>4275</v>
      </c>
      <c r="K28" t="s">
        <v>25</v>
      </c>
    </row>
    <row r="29" spans="1:18" x14ac:dyDescent="0.25">
      <c r="A29">
        <v>1028</v>
      </c>
      <c r="B29" s="1">
        <v>46079</v>
      </c>
      <c r="C29" t="s">
        <v>27</v>
      </c>
      <c r="D29" t="s">
        <v>40</v>
      </c>
      <c r="E29" t="s">
        <v>41</v>
      </c>
      <c r="F29" t="s">
        <v>19</v>
      </c>
      <c r="G29">
        <v>3</v>
      </c>
      <c r="H29">
        <v>1500</v>
      </c>
      <c r="I29" s="2">
        <f ca="1">Table1[[#This Row],[Discount_%]]/100</f>
        <v>0.15</v>
      </c>
      <c r="J29">
        <v>3825</v>
      </c>
      <c r="K29" t="s">
        <v>15</v>
      </c>
    </row>
    <row r="30" spans="1:18" hidden="1" x14ac:dyDescent="0.25">
      <c r="A30">
        <v>1029</v>
      </c>
      <c r="B30" s="1">
        <v>46147</v>
      </c>
      <c r="C30" t="s">
        <v>35</v>
      </c>
      <c r="D30" t="s">
        <v>28</v>
      </c>
      <c r="E30" t="s">
        <v>34</v>
      </c>
      <c r="F30" t="s">
        <v>14</v>
      </c>
      <c r="G30">
        <v>2</v>
      </c>
      <c r="H30">
        <v>20</v>
      </c>
      <c r="I30" s="2">
        <f ca="1">Table1[[#This Row],[Discount_%]]/100</f>
        <v>0.05</v>
      </c>
      <c r="J30">
        <v>38</v>
      </c>
      <c r="K30" t="s">
        <v>15</v>
      </c>
    </row>
    <row r="31" spans="1:18" hidden="1" x14ac:dyDescent="0.25">
      <c r="A31">
        <v>1030</v>
      </c>
      <c r="B31" s="1">
        <v>46165</v>
      </c>
      <c r="C31" t="s">
        <v>39</v>
      </c>
      <c r="D31" t="s">
        <v>17</v>
      </c>
      <c r="E31" t="s">
        <v>13</v>
      </c>
      <c r="F31" t="s">
        <v>14</v>
      </c>
      <c r="G31">
        <v>2</v>
      </c>
      <c r="H31">
        <v>80</v>
      </c>
      <c r="I31" s="2">
        <f ca="1">Table1[[#This Row],[Discount_%]]/100</f>
        <v>0.15</v>
      </c>
      <c r="J31">
        <v>136</v>
      </c>
      <c r="K31" t="s">
        <v>29</v>
      </c>
    </row>
    <row r="32" spans="1:18" hidden="1" x14ac:dyDescent="0.25">
      <c r="A32">
        <v>1031</v>
      </c>
      <c r="B32" s="1">
        <v>46092</v>
      </c>
      <c r="C32" t="s">
        <v>26</v>
      </c>
      <c r="D32" t="s">
        <v>12</v>
      </c>
      <c r="E32" t="s">
        <v>30</v>
      </c>
      <c r="F32" t="s">
        <v>31</v>
      </c>
      <c r="G32">
        <v>1</v>
      </c>
      <c r="H32">
        <v>8500</v>
      </c>
      <c r="I32" s="2">
        <f ca="1">Table1[[#This Row],[Discount_%]]/100</f>
        <v>0.1</v>
      </c>
      <c r="J32">
        <v>7650</v>
      </c>
      <c r="K32" t="s">
        <v>37</v>
      </c>
    </row>
    <row r="33" spans="1:11" hidden="1" x14ac:dyDescent="0.25">
      <c r="A33">
        <v>1032</v>
      </c>
      <c r="B33" s="1">
        <v>46102</v>
      </c>
      <c r="C33" t="s">
        <v>38</v>
      </c>
      <c r="D33" t="s">
        <v>12</v>
      </c>
      <c r="E33" t="s">
        <v>30</v>
      </c>
      <c r="F33" t="s">
        <v>31</v>
      </c>
      <c r="G33">
        <v>4</v>
      </c>
      <c r="H33">
        <v>8500</v>
      </c>
      <c r="I33" s="2">
        <f ca="1">Table1[[#This Row],[Discount_%]]/100</f>
        <v>0.15</v>
      </c>
      <c r="J33">
        <v>28900</v>
      </c>
      <c r="K33" t="s">
        <v>20</v>
      </c>
    </row>
    <row r="34" spans="1:11" hidden="1" x14ac:dyDescent="0.25">
      <c r="A34">
        <v>1033</v>
      </c>
      <c r="B34" s="1">
        <v>46154</v>
      </c>
      <c r="C34" t="s">
        <v>38</v>
      </c>
      <c r="D34" t="s">
        <v>17</v>
      </c>
      <c r="E34" t="s">
        <v>30</v>
      </c>
      <c r="F34" t="s">
        <v>31</v>
      </c>
      <c r="G34">
        <v>5</v>
      </c>
      <c r="H34">
        <v>8500</v>
      </c>
      <c r="I34" s="2">
        <f ca="1">Table1[[#This Row],[Discount_%]]/100</f>
        <v>0</v>
      </c>
      <c r="J34">
        <v>42500</v>
      </c>
      <c r="K34" t="s">
        <v>29</v>
      </c>
    </row>
    <row r="35" spans="1:11" hidden="1" x14ac:dyDescent="0.25">
      <c r="A35">
        <v>1034</v>
      </c>
      <c r="B35" s="1">
        <v>46129</v>
      </c>
      <c r="C35" t="s">
        <v>42</v>
      </c>
      <c r="D35" t="s">
        <v>24</v>
      </c>
      <c r="E35" t="s">
        <v>34</v>
      </c>
      <c r="F35" t="s">
        <v>14</v>
      </c>
      <c r="G35">
        <v>1</v>
      </c>
      <c r="H35">
        <v>20</v>
      </c>
      <c r="I35" s="2">
        <f ca="1">Table1[[#This Row],[Discount_%]]/100</f>
        <v>0.05</v>
      </c>
      <c r="J35">
        <v>19</v>
      </c>
      <c r="K35" t="s">
        <v>29</v>
      </c>
    </row>
    <row r="36" spans="1:11" x14ac:dyDescent="0.25">
      <c r="A36">
        <v>1035</v>
      </c>
      <c r="B36" s="1">
        <v>46185</v>
      </c>
      <c r="C36" t="s">
        <v>27</v>
      </c>
      <c r="D36" t="s">
        <v>28</v>
      </c>
      <c r="E36" t="s">
        <v>18</v>
      </c>
      <c r="F36" t="s">
        <v>19</v>
      </c>
      <c r="G36">
        <v>2</v>
      </c>
      <c r="H36">
        <v>15000</v>
      </c>
      <c r="I36" s="2">
        <f ca="1">Table1[[#This Row],[Discount_%]]/100</f>
        <v>0.1</v>
      </c>
      <c r="J36">
        <v>27000</v>
      </c>
      <c r="K36" t="s">
        <v>25</v>
      </c>
    </row>
    <row r="37" spans="1:11" hidden="1" x14ac:dyDescent="0.25">
      <c r="A37">
        <v>1036</v>
      </c>
      <c r="B37" s="1">
        <v>46178</v>
      </c>
      <c r="C37" t="s">
        <v>38</v>
      </c>
      <c r="D37" t="s">
        <v>22</v>
      </c>
      <c r="E37" t="s">
        <v>30</v>
      </c>
      <c r="F37" t="s">
        <v>31</v>
      </c>
      <c r="G37">
        <v>4</v>
      </c>
      <c r="H37">
        <v>8500</v>
      </c>
      <c r="I37" s="2">
        <f ca="1">Table1[[#This Row],[Discount_%]]/100</f>
        <v>0.05</v>
      </c>
      <c r="J37">
        <v>32300</v>
      </c>
      <c r="K37" t="s">
        <v>37</v>
      </c>
    </row>
    <row r="38" spans="1:11" x14ac:dyDescent="0.25">
      <c r="A38">
        <v>1037</v>
      </c>
      <c r="B38" s="1">
        <v>46150</v>
      </c>
      <c r="C38" t="s">
        <v>35</v>
      </c>
      <c r="D38" t="s">
        <v>24</v>
      </c>
      <c r="E38" t="s">
        <v>33</v>
      </c>
      <c r="F38" t="s">
        <v>19</v>
      </c>
      <c r="G38">
        <v>2</v>
      </c>
      <c r="H38">
        <v>65000</v>
      </c>
      <c r="I38" s="2">
        <f ca="1">Table1[[#This Row],[Discount_%]]/100</f>
        <v>0.15</v>
      </c>
      <c r="J38">
        <v>110500</v>
      </c>
      <c r="K38" t="s">
        <v>37</v>
      </c>
    </row>
    <row r="39" spans="1:11" hidden="1" x14ac:dyDescent="0.25">
      <c r="A39">
        <v>1038</v>
      </c>
      <c r="B39" s="1">
        <v>46051</v>
      </c>
      <c r="C39" t="s">
        <v>27</v>
      </c>
      <c r="D39" t="s">
        <v>17</v>
      </c>
      <c r="E39" t="s">
        <v>30</v>
      </c>
      <c r="F39" t="s">
        <v>31</v>
      </c>
      <c r="G39">
        <v>4</v>
      </c>
      <c r="H39">
        <v>8500</v>
      </c>
      <c r="I39" s="2">
        <f ca="1">Table1[[#This Row],[Discount_%]]/100</f>
        <v>0</v>
      </c>
      <c r="J39">
        <v>34000</v>
      </c>
      <c r="K39" t="s">
        <v>20</v>
      </c>
    </row>
    <row r="40" spans="1:11" x14ac:dyDescent="0.25">
      <c r="A40">
        <v>1039</v>
      </c>
      <c r="B40" s="1">
        <v>46047</v>
      </c>
      <c r="C40" t="s">
        <v>39</v>
      </c>
      <c r="D40" t="s">
        <v>24</v>
      </c>
      <c r="E40" t="s">
        <v>18</v>
      </c>
      <c r="F40" t="s">
        <v>19</v>
      </c>
      <c r="G40">
        <v>3</v>
      </c>
      <c r="H40">
        <v>15000</v>
      </c>
      <c r="I40" s="2">
        <f ca="1">Table1[[#This Row],[Discount_%]]/100</f>
        <v>0.15</v>
      </c>
      <c r="J40">
        <v>38250</v>
      </c>
      <c r="K40" t="s">
        <v>25</v>
      </c>
    </row>
    <row r="41" spans="1:11" x14ac:dyDescent="0.25">
      <c r="A41">
        <v>1040</v>
      </c>
      <c r="B41" s="1">
        <v>46084</v>
      </c>
      <c r="C41" t="s">
        <v>21</v>
      </c>
      <c r="D41" t="s">
        <v>32</v>
      </c>
      <c r="E41" t="s">
        <v>23</v>
      </c>
      <c r="F41" t="s">
        <v>19</v>
      </c>
      <c r="G41">
        <v>4</v>
      </c>
      <c r="H41">
        <v>700</v>
      </c>
      <c r="I41" s="2">
        <f ca="1">Table1[[#This Row],[Discount_%]]/100</f>
        <v>0</v>
      </c>
      <c r="J41">
        <v>2800</v>
      </c>
      <c r="K41" t="s">
        <v>20</v>
      </c>
    </row>
    <row r="42" spans="1:11" x14ac:dyDescent="0.25">
      <c r="A42">
        <v>1041</v>
      </c>
      <c r="B42" s="1">
        <v>46093</v>
      </c>
      <c r="C42" t="s">
        <v>11</v>
      </c>
      <c r="D42" t="s">
        <v>22</v>
      </c>
      <c r="E42" t="s">
        <v>18</v>
      </c>
      <c r="F42" t="s">
        <v>19</v>
      </c>
      <c r="G42">
        <v>1</v>
      </c>
      <c r="H42">
        <v>15000</v>
      </c>
      <c r="I42" s="2">
        <f ca="1">Table1[[#This Row],[Discount_%]]/100</f>
        <v>0.05</v>
      </c>
      <c r="J42">
        <v>14250</v>
      </c>
      <c r="K42" t="s">
        <v>25</v>
      </c>
    </row>
    <row r="43" spans="1:11" x14ac:dyDescent="0.25">
      <c r="A43">
        <v>1042</v>
      </c>
      <c r="B43" s="1">
        <v>46164</v>
      </c>
      <c r="C43" t="s">
        <v>16</v>
      </c>
      <c r="D43" t="s">
        <v>28</v>
      </c>
      <c r="E43" t="s">
        <v>23</v>
      </c>
      <c r="F43" t="s">
        <v>19</v>
      </c>
      <c r="G43">
        <v>2</v>
      </c>
      <c r="H43">
        <v>700</v>
      </c>
      <c r="I43" s="2">
        <f ca="1">Table1[[#This Row],[Discount_%]]/100</f>
        <v>0.15</v>
      </c>
      <c r="J43">
        <v>1190</v>
      </c>
      <c r="K43" t="s">
        <v>37</v>
      </c>
    </row>
    <row r="44" spans="1:11" hidden="1" x14ac:dyDescent="0.25">
      <c r="A44">
        <v>1043</v>
      </c>
      <c r="B44" s="1">
        <v>46160</v>
      </c>
      <c r="C44" t="s">
        <v>27</v>
      </c>
      <c r="D44" t="s">
        <v>24</v>
      </c>
      <c r="E44" t="s">
        <v>30</v>
      </c>
      <c r="F44" t="s">
        <v>31</v>
      </c>
      <c r="G44">
        <v>3</v>
      </c>
      <c r="H44">
        <v>8500</v>
      </c>
      <c r="I44" s="2">
        <f ca="1">Table1[[#This Row],[Discount_%]]/100</f>
        <v>0.15</v>
      </c>
      <c r="J44">
        <v>21675</v>
      </c>
      <c r="K44" t="s">
        <v>25</v>
      </c>
    </row>
    <row r="45" spans="1:11" hidden="1" x14ac:dyDescent="0.25">
      <c r="A45">
        <v>1044</v>
      </c>
      <c r="B45" s="1">
        <v>46111</v>
      </c>
      <c r="C45" t="s">
        <v>16</v>
      </c>
      <c r="D45" t="s">
        <v>22</v>
      </c>
      <c r="E45" t="s">
        <v>30</v>
      </c>
      <c r="F45" t="s">
        <v>31</v>
      </c>
      <c r="G45">
        <v>4</v>
      </c>
      <c r="H45">
        <v>8500</v>
      </c>
      <c r="I45" s="2">
        <f ca="1">Table1[[#This Row],[Discount_%]]/100</f>
        <v>0.15</v>
      </c>
      <c r="J45">
        <v>28900</v>
      </c>
      <c r="K45" t="s">
        <v>29</v>
      </c>
    </row>
    <row r="46" spans="1:11" hidden="1" x14ac:dyDescent="0.25">
      <c r="A46">
        <v>1045</v>
      </c>
      <c r="B46" s="1">
        <v>46143</v>
      </c>
      <c r="C46" t="s">
        <v>26</v>
      </c>
      <c r="D46" t="s">
        <v>24</v>
      </c>
      <c r="E46" t="s">
        <v>34</v>
      </c>
      <c r="F46" t="s">
        <v>14</v>
      </c>
      <c r="G46">
        <v>5</v>
      </c>
      <c r="H46">
        <v>20</v>
      </c>
      <c r="I46" s="2">
        <f ca="1">Table1[[#This Row],[Discount_%]]/100</f>
        <v>0.15</v>
      </c>
      <c r="J46">
        <v>85</v>
      </c>
      <c r="K46" t="s">
        <v>20</v>
      </c>
    </row>
    <row r="47" spans="1:11" hidden="1" x14ac:dyDescent="0.25">
      <c r="A47">
        <v>1046</v>
      </c>
      <c r="B47" s="1">
        <v>46133</v>
      </c>
      <c r="C47" t="s">
        <v>35</v>
      </c>
      <c r="D47" t="s">
        <v>32</v>
      </c>
      <c r="E47" t="s">
        <v>30</v>
      </c>
      <c r="F47" t="s">
        <v>31</v>
      </c>
      <c r="G47">
        <v>3</v>
      </c>
      <c r="H47">
        <v>8500</v>
      </c>
      <c r="I47" s="2">
        <f ca="1">Table1[[#This Row],[Discount_%]]/100</f>
        <v>0</v>
      </c>
      <c r="J47">
        <v>25500</v>
      </c>
      <c r="K47" t="s">
        <v>37</v>
      </c>
    </row>
    <row r="48" spans="1:11" hidden="1" x14ac:dyDescent="0.25">
      <c r="A48">
        <v>1047</v>
      </c>
      <c r="B48" s="1">
        <v>46034</v>
      </c>
      <c r="C48" t="s">
        <v>27</v>
      </c>
      <c r="D48" t="s">
        <v>32</v>
      </c>
      <c r="E48" t="s">
        <v>13</v>
      </c>
      <c r="F48" t="s">
        <v>14</v>
      </c>
      <c r="G48">
        <v>1</v>
      </c>
      <c r="H48">
        <v>80</v>
      </c>
      <c r="I48" s="2">
        <f ca="1">Table1[[#This Row],[Discount_%]]/100</f>
        <v>0.05</v>
      </c>
      <c r="J48">
        <v>76</v>
      </c>
      <c r="K48" t="s">
        <v>29</v>
      </c>
    </row>
    <row r="49" spans="1:11" x14ac:dyDescent="0.25">
      <c r="A49">
        <v>1048</v>
      </c>
      <c r="B49" s="1">
        <v>46169</v>
      </c>
      <c r="C49" t="s">
        <v>26</v>
      </c>
      <c r="D49" t="s">
        <v>12</v>
      </c>
      <c r="E49" t="s">
        <v>41</v>
      </c>
      <c r="F49" t="s">
        <v>19</v>
      </c>
      <c r="G49">
        <v>5</v>
      </c>
      <c r="H49">
        <v>1500</v>
      </c>
      <c r="I49" s="2">
        <f ca="1">Table1[[#This Row],[Discount_%]]/100</f>
        <v>0</v>
      </c>
      <c r="J49">
        <v>7500</v>
      </c>
      <c r="K49" t="s">
        <v>29</v>
      </c>
    </row>
    <row r="50" spans="1:11" hidden="1" x14ac:dyDescent="0.25">
      <c r="A50">
        <v>1049</v>
      </c>
      <c r="B50" s="1">
        <v>46025</v>
      </c>
      <c r="C50" t="s">
        <v>16</v>
      </c>
      <c r="D50" t="s">
        <v>12</v>
      </c>
      <c r="E50" t="s">
        <v>30</v>
      </c>
      <c r="F50" t="s">
        <v>31</v>
      </c>
      <c r="G50">
        <v>2</v>
      </c>
      <c r="H50">
        <v>8500</v>
      </c>
      <c r="I50" s="2">
        <f ca="1">Table1[[#This Row],[Discount_%]]/100</f>
        <v>0</v>
      </c>
      <c r="J50">
        <v>17000</v>
      </c>
      <c r="K50" t="s">
        <v>20</v>
      </c>
    </row>
    <row r="51" spans="1:11" hidden="1" x14ac:dyDescent="0.25">
      <c r="A51">
        <v>1050</v>
      </c>
      <c r="B51" s="1">
        <v>46087</v>
      </c>
      <c r="C51" t="s">
        <v>16</v>
      </c>
      <c r="D51" t="s">
        <v>22</v>
      </c>
      <c r="E51" t="s">
        <v>13</v>
      </c>
      <c r="F51" t="s">
        <v>14</v>
      </c>
      <c r="G51">
        <v>4</v>
      </c>
      <c r="H51">
        <v>80</v>
      </c>
      <c r="I51" s="2">
        <f ca="1">Table1[[#This Row],[Discount_%]]/100</f>
        <v>0</v>
      </c>
      <c r="J51">
        <v>320</v>
      </c>
      <c r="K51" t="s">
        <v>29</v>
      </c>
    </row>
    <row r="52" spans="1:11" x14ac:dyDescent="0.25">
      <c r="A52">
        <v>1051</v>
      </c>
      <c r="B52" s="1">
        <v>46086</v>
      </c>
      <c r="C52" t="s">
        <v>42</v>
      </c>
      <c r="D52" t="s">
        <v>28</v>
      </c>
      <c r="E52" t="s">
        <v>33</v>
      </c>
      <c r="F52" t="s">
        <v>19</v>
      </c>
      <c r="G52">
        <v>1</v>
      </c>
      <c r="H52">
        <v>65000</v>
      </c>
      <c r="I52" s="2">
        <f ca="1">Table1[[#This Row],[Discount_%]]/100</f>
        <v>0.15</v>
      </c>
      <c r="J52">
        <v>55250</v>
      </c>
      <c r="K52" t="s">
        <v>20</v>
      </c>
    </row>
    <row r="53" spans="1:11" hidden="1" x14ac:dyDescent="0.25">
      <c r="A53">
        <v>1052</v>
      </c>
      <c r="B53" s="1">
        <v>46164</v>
      </c>
      <c r="C53" t="s">
        <v>43</v>
      </c>
      <c r="D53" t="s">
        <v>17</v>
      </c>
      <c r="E53" t="s">
        <v>36</v>
      </c>
      <c r="F53" t="s">
        <v>31</v>
      </c>
      <c r="G53">
        <v>5</v>
      </c>
      <c r="H53">
        <v>12000</v>
      </c>
      <c r="I53" s="2">
        <f ca="1">Table1[[#This Row],[Discount_%]]/100</f>
        <v>0</v>
      </c>
      <c r="J53">
        <v>60000</v>
      </c>
      <c r="K53" t="s">
        <v>29</v>
      </c>
    </row>
    <row r="54" spans="1:11" hidden="1" x14ac:dyDescent="0.25">
      <c r="A54">
        <v>1053</v>
      </c>
      <c r="B54" s="1">
        <v>46030</v>
      </c>
      <c r="C54" t="s">
        <v>38</v>
      </c>
      <c r="D54" t="s">
        <v>17</v>
      </c>
      <c r="E54" t="s">
        <v>34</v>
      </c>
      <c r="F54" t="s">
        <v>14</v>
      </c>
      <c r="G54">
        <v>5</v>
      </c>
      <c r="H54">
        <v>20</v>
      </c>
      <c r="I54" s="2">
        <f ca="1">Table1[[#This Row],[Discount_%]]/100</f>
        <v>0</v>
      </c>
      <c r="J54">
        <v>100</v>
      </c>
      <c r="K54" t="s">
        <v>29</v>
      </c>
    </row>
    <row r="55" spans="1:11" hidden="1" x14ac:dyDescent="0.25">
      <c r="A55">
        <v>1054</v>
      </c>
      <c r="B55" s="1">
        <v>46179</v>
      </c>
      <c r="C55" t="s">
        <v>35</v>
      </c>
      <c r="D55" t="s">
        <v>12</v>
      </c>
      <c r="E55" t="s">
        <v>13</v>
      </c>
      <c r="F55" t="s">
        <v>14</v>
      </c>
      <c r="G55">
        <v>2</v>
      </c>
      <c r="H55">
        <v>80</v>
      </c>
      <c r="I55" s="2">
        <f ca="1">Table1[[#This Row],[Discount_%]]/100</f>
        <v>0.05</v>
      </c>
      <c r="J55">
        <v>152</v>
      </c>
      <c r="K55" t="s">
        <v>29</v>
      </c>
    </row>
    <row r="56" spans="1:11" hidden="1" x14ac:dyDescent="0.25">
      <c r="A56">
        <v>1055</v>
      </c>
      <c r="B56" s="1">
        <v>46030</v>
      </c>
      <c r="C56" t="s">
        <v>42</v>
      </c>
      <c r="D56" t="s">
        <v>24</v>
      </c>
      <c r="E56" t="s">
        <v>13</v>
      </c>
      <c r="F56" t="s">
        <v>14</v>
      </c>
      <c r="G56">
        <v>1</v>
      </c>
      <c r="H56">
        <v>80</v>
      </c>
      <c r="I56" s="2">
        <f ca="1">Table1[[#This Row],[Discount_%]]/100</f>
        <v>0.05</v>
      </c>
      <c r="J56">
        <v>76</v>
      </c>
      <c r="K56" t="s">
        <v>20</v>
      </c>
    </row>
    <row r="57" spans="1:11" hidden="1" x14ac:dyDescent="0.25">
      <c r="A57">
        <v>1056</v>
      </c>
      <c r="B57" s="1">
        <v>46115</v>
      </c>
      <c r="C57" t="s">
        <v>27</v>
      </c>
      <c r="D57" t="s">
        <v>32</v>
      </c>
      <c r="E57" t="s">
        <v>30</v>
      </c>
      <c r="F57" t="s">
        <v>31</v>
      </c>
      <c r="G57">
        <v>2</v>
      </c>
      <c r="H57">
        <v>8500</v>
      </c>
      <c r="I57" s="2">
        <f ca="1">Table1[[#This Row],[Discount_%]]/100</f>
        <v>0.05</v>
      </c>
      <c r="J57">
        <v>16150</v>
      </c>
      <c r="K57" t="s">
        <v>25</v>
      </c>
    </row>
    <row r="58" spans="1:11" hidden="1" x14ac:dyDescent="0.25">
      <c r="A58">
        <v>1057</v>
      </c>
      <c r="B58" s="1">
        <v>46118</v>
      </c>
      <c r="C58" t="s">
        <v>26</v>
      </c>
      <c r="D58" t="s">
        <v>32</v>
      </c>
      <c r="E58" t="s">
        <v>30</v>
      </c>
      <c r="F58" t="s">
        <v>31</v>
      </c>
      <c r="G58">
        <v>3</v>
      </c>
      <c r="H58">
        <v>8500</v>
      </c>
      <c r="I58" s="2">
        <f ca="1">Table1[[#This Row],[Discount_%]]/100</f>
        <v>0.15</v>
      </c>
      <c r="J58">
        <v>21675</v>
      </c>
      <c r="K58" t="s">
        <v>20</v>
      </c>
    </row>
    <row r="59" spans="1:11" hidden="1" x14ac:dyDescent="0.25">
      <c r="A59">
        <v>1058</v>
      </c>
      <c r="B59" s="1">
        <v>46027</v>
      </c>
      <c r="C59" t="s">
        <v>38</v>
      </c>
      <c r="D59" t="s">
        <v>24</v>
      </c>
      <c r="E59" t="s">
        <v>34</v>
      </c>
      <c r="F59" t="s">
        <v>14</v>
      </c>
      <c r="G59">
        <v>5</v>
      </c>
      <c r="H59">
        <v>20</v>
      </c>
      <c r="I59" s="2">
        <f ca="1">Table1[[#This Row],[Discount_%]]/100</f>
        <v>0.15</v>
      </c>
      <c r="J59">
        <v>85</v>
      </c>
      <c r="K59" t="s">
        <v>37</v>
      </c>
    </row>
    <row r="60" spans="1:11" hidden="1" x14ac:dyDescent="0.25">
      <c r="A60">
        <v>1059</v>
      </c>
      <c r="B60" s="1">
        <v>46169</v>
      </c>
      <c r="C60" t="s">
        <v>35</v>
      </c>
      <c r="D60" t="s">
        <v>22</v>
      </c>
      <c r="E60" t="s">
        <v>30</v>
      </c>
      <c r="F60" t="s">
        <v>31</v>
      </c>
      <c r="G60">
        <v>4</v>
      </c>
      <c r="H60">
        <v>8500</v>
      </c>
      <c r="I60" s="2">
        <f ca="1">Table1[[#This Row],[Discount_%]]/100</f>
        <v>0.15</v>
      </c>
      <c r="J60">
        <v>28900</v>
      </c>
      <c r="K60" t="s">
        <v>25</v>
      </c>
    </row>
    <row r="61" spans="1:11" hidden="1" x14ac:dyDescent="0.25">
      <c r="A61">
        <v>1060</v>
      </c>
      <c r="B61" s="1">
        <v>46195</v>
      </c>
      <c r="C61" t="s">
        <v>11</v>
      </c>
      <c r="D61" t="s">
        <v>32</v>
      </c>
      <c r="E61" t="s">
        <v>30</v>
      </c>
      <c r="F61" t="s">
        <v>31</v>
      </c>
      <c r="G61">
        <v>4</v>
      </c>
      <c r="H61">
        <v>8500</v>
      </c>
      <c r="I61" s="2">
        <f ca="1">Table1[[#This Row],[Discount_%]]/100</f>
        <v>0.15</v>
      </c>
      <c r="J61">
        <v>28900</v>
      </c>
      <c r="K61" t="s">
        <v>15</v>
      </c>
    </row>
    <row r="62" spans="1:11" x14ac:dyDescent="0.25">
      <c r="A62">
        <v>1061</v>
      </c>
      <c r="B62" s="1">
        <v>46150</v>
      </c>
      <c r="C62" t="s">
        <v>39</v>
      </c>
      <c r="D62" t="s">
        <v>24</v>
      </c>
      <c r="E62" t="s">
        <v>33</v>
      </c>
      <c r="F62" t="s">
        <v>19</v>
      </c>
      <c r="G62">
        <v>2</v>
      </c>
      <c r="H62">
        <v>65000</v>
      </c>
      <c r="I62" s="2">
        <f ca="1">Table1[[#This Row],[Discount_%]]/100</f>
        <v>0.1</v>
      </c>
      <c r="J62">
        <v>117000</v>
      </c>
      <c r="K62" t="s">
        <v>25</v>
      </c>
    </row>
    <row r="63" spans="1:11" hidden="1" x14ac:dyDescent="0.25">
      <c r="A63">
        <v>1062</v>
      </c>
      <c r="B63" s="1">
        <v>46088</v>
      </c>
      <c r="C63" t="s">
        <v>38</v>
      </c>
      <c r="D63" t="s">
        <v>28</v>
      </c>
      <c r="E63" t="s">
        <v>30</v>
      </c>
      <c r="F63" t="s">
        <v>31</v>
      </c>
      <c r="G63">
        <v>5</v>
      </c>
      <c r="H63">
        <v>8500</v>
      </c>
      <c r="I63" s="2">
        <f ca="1">Table1[[#This Row],[Discount_%]]/100</f>
        <v>0.1</v>
      </c>
      <c r="J63">
        <v>38250</v>
      </c>
      <c r="K63" t="s">
        <v>37</v>
      </c>
    </row>
    <row r="64" spans="1:11" hidden="1" x14ac:dyDescent="0.25">
      <c r="A64">
        <v>1063</v>
      </c>
      <c r="B64" s="1">
        <v>46163</v>
      </c>
      <c r="C64" t="s">
        <v>39</v>
      </c>
      <c r="D64" t="s">
        <v>28</v>
      </c>
      <c r="E64" t="s">
        <v>13</v>
      </c>
      <c r="F64" t="s">
        <v>14</v>
      </c>
      <c r="G64">
        <v>2</v>
      </c>
      <c r="H64">
        <v>80</v>
      </c>
      <c r="I64" s="2">
        <f ca="1">Table1[[#This Row],[Discount_%]]/100</f>
        <v>0</v>
      </c>
      <c r="J64">
        <v>160</v>
      </c>
      <c r="K64" t="s">
        <v>37</v>
      </c>
    </row>
    <row r="65" spans="1:11" hidden="1" x14ac:dyDescent="0.25">
      <c r="A65">
        <v>1064</v>
      </c>
      <c r="B65" s="1">
        <v>46172</v>
      </c>
      <c r="C65" t="s">
        <v>26</v>
      </c>
      <c r="D65" t="s">
        <v>12</v>
      </c>
      <c r="E65" t="s">
        <v>34</v>
      </c>
      <c r="F65" t="s">
        <v>14</v>
      </c>
      <c r="G65">
        <v>3</v>
      </c>
      <c r="H65">
        <v>20</v>
      </c>
      <c r="I65" s="2">
        <f ca="1">Table1[[#This Row],[Discount_%]]/100</f>
        <v>0</v>
      </c>
      <c r="J65">
        <v>60</v>
      </c>
      <c r="K65" t="s">
        <v>25</v>
      </c>
    </row>
    <row r="66" spans="1:11" x14ac:dyDescent="0.25">
      <c r="A66">
        <v>1065</v>
      </c>
      <c r="B66" s="1">
        <v>46083</v>
      </c>
      <c r="C66" t="s">
        <v>38</v>
      </c>
      <c r="D66" t="s">
        <v>40</v>
      </c>
      <c r="E66" t="s">
        <v>23</v>
      </c>
      <c r="F66" t="s">
        <v>19</v>
      </c>
      <c r="G66">
        <v>1</v>
      </c>
      <c r="H66">
        <v>700</v>
      </c>
      <c r="I66" s="2">
        <f ca="1">Table1[[#This Row],[Discount_%]]/100</f>
        <v>0</v>
      </c>
      <c r="J66">
        <v>700</v>
      </c>
      <c r="K66" t="s">
        <v>29</v>
      </c>
    </row>
    <row r="67" spans="1:11" hidden="1" x14ac:dyDescent="0.25">
      <c r="A67">
        <v>1066</v>
      </c>
      <c r="B67" s="1">
        <v>46201</v>
      </c>
      <c r="C67" t="s">
        <v>26</v>
      </c>
      <c r="D67" t="s">
        <v>22</v>
      </c>
      <c r="E67" t="s">
        <v>30</v>
      </c>
      <c r="F67" t="s">
        <v>31</v>
      </c>
      <c r="G67">
        <v>3</v>
      </c>
      <c r="H67">
        <v>8500</v>
      </c>
      <c r="I67" s="2">
        <f ca="1">Table1[[#This Row],[Discount_%]]/100</f>
        <v>0.1</v>
      </c>
      <c r="J67">
        <v>22950</v>
      </c>
      <c r="K67" t="s">
        <v>29</v>
      </c>
    </row>
    <row r="68" spans="1:11" hidden="1" x14ac:dyDescent="0.25">
      <c r="A68">
        <v>1067</v>
      </c>
      <c r="B68" s="1">
        <v>46096</v>
      </c>
      <c r="C68" t="s">
        <v>35</v>
      </c>
      <c r="D68" t="s">
        <v>40</v>
      </c>
      <c r="E68" t="s">
        <v>13</v>
      </c>
      <c r="F68" t="s">
        <v>14</v>
      </c>
      <c r="G68">
        <v>5</v>
      </c>
      <c r="H68">
        <v>80</v>
      </c>
      <c r="I68" s="2">
        <f ca="1">Table1[[#This Row],[Discount_%]]/100</f>
        <v>0</v>
      </c>
      <c r="J68">
        <v>400</v>
      </c>
      <c r="K68" t="s">
        <v>15</v>
      </c>
    </row>
    <row r="69" spans="1:11" hidden="1" x14ac:dyDescent="0.25">
      <c r="A69">
        <v>1068</v>
      </c>
      <c r="B69" s="1">
        <v>46128</v>
      </c>
      <c r="C69" t="s">
        <v>11</v>
      </c>
      <c r="D69" t="s">
        <v>17</v>
      </c>
      <c r="E69" t="s">
        <v>36</v>
      </c>
      <c r="F69" t="s">
        <v>31</v>
      </c>
      <c r="G69">
        <v>1</v>
      </c>
      <c r="H69">
        <v>12000</v>
      </c>
      <c r="I69" s="2">
        <f ca="1">Table1[[#This Row],[Discount_%]]/100</f>
        <v>0.1</v>
      </c>
      <c r="J69">
        <v>10800</v>
      </c>
      <c r="K69" t="s">
        <v>20</v>
      </c>
    </row>
    <row r="70" spans="1:11" hidden="1" x14ac:dyDescent="0.25">
      <c r="A70">
        <v>1069</v>
      </c>
      <c r="B70" s="1">
        <v>46068</v>
      </c>
      <c r="C70" t="s">
        <v>27</v>
      </c>
      <c r="D70" t="s">
        <v>17</v>
      </c>
      <c r="E70" t="s">
        <v>34</v>
      </c>
      <c r="F70" t="s">
        <v>14</v>
      </c>
      <c r="G70">
        <v>1</v>
      </c>
      <c r="H70">
        <v>20</v>
      </c>
      <c r="I70" s="2">
        <f ca="1">Table1[[#This Row],[Discount_%]]/100</f>
        <v>0</v>
      </c>
      <c r="J70">
        <v>20</v>
      </c>
      <c r="K70" t="s">
        <v>20</v>
      </c>
    </row>
    <row r="71" spans="1:11" x14ac:dyDescent="0.25">
      <c r="A71">
        <v>1070</v>
      </c>
      <c r="B71" s="1">
        <v>46060</v>
      </c>
      <c r="C71" t="s">
        <v>27</v>
      </c>
      <c r="D71" t="s">
        <v>32</v>
      </c>
      <c r="E71" t="s">
        <v>23</v>
      </c>
      <c r="F71" t="s">
        <v>19</v>
      </c>
      <c r="G71">
        <v>3</v>
      </c>
      <c r="H71">
        <v>700</v>
      </c>
      <c r="I71" s="2">
        <f ca="1">Table1[[#This Row],[Discount_%]]/100</f>
        <v>0.05</v>
      </c>
      <c r="J71">
        <v>1995</v>
      </c>
      <c r="K71" t="s">
        <v>20</v>
      </c>
    </row>
    <row r="72" spans="1:11" hidden="1" x14ac:dyDescent="0.25">
      <c r="A72">
        <v>1071</v>
      </c>
      <c r="B72" s="1">
        <v>46028</v>
      </c>
      <c r="C72" t="s">
        <v>43</v>
      </c>
      <c r="D72" t="s">
        <v>24</v>
      </c>
      <c r="E72" t="s">
        <v>30</v>
      </c>
      <c r="F72" t="s">
        <v>31</v>
      </c>
      <c r="G72">
        <v>1</v>
      </c>
      <c r="H72">
        <v>8500</v>
      </c>
      <c r="I72" s="2">
        <f ca="1">Table1[[#This Row],[Discount_%]]/100</f>
        <v>0.15</v>
      </c>
      <c r="J72">
        <v>7225</v>
      </c>
      <c r="K72" t="s">
        <v>25</v>
      </c>
    </row>
    <row r="73" spans="1:11" hidden="1" x14ac:dyDescent="0.25">
      <c r="A73">
        <v>1072</v>
      </c>
      <c r="B73" s="1">
        <v>46120</v>
      </c>
      <c r="C73" t="s">
        <v>35</v>
      </c>
      <c r="D73" t="s">
        <v>40</v>
      </c>
      <c r="E73" t="s">
        <v>30</v>
      </c>
      <c r="F73" t="s">
        <v>31</v>
      </c>
      <c r="G73">
        <v>5</v>
      </c>
      <c r="H73">
        <v>8500</v>
      </c>
      <c r="I73" s="2">
        <f ca="1">Table1[[#This Row],[Discount_%]]/100</f>
        <v>0</v>
      </c>
      <c r="J73">
        <v>42500</v>
      </c>
      <c r="K73" t="s">
        <v>29</v>
      </c>
    </row>
    <row r="74" spans="1:11" hidden="1" x14ac:dyDescent="0.25">
      <c r="A74">
        <v>1073</v>
      </c>
      <c r="B74" s="1">
        <v>46069</v>
      </c>
      <c r="C74" t="s">
        <v>16</v>
      </c>
      <c r="D74" t="s">
        <v>32</v>
      </c>
      <c r="E74" t="s">
        <v>30</v>
      </c>
      <c r="F74" t="s">
        <v>31</v>
      </c>
      <c r="G74">
        <v>1</v>
      </c>
      <c r="H74">
        <v>8500</v>
      </c>
      <c r="I74" s="2">
        <f ca="1">Table1[[#This Row],[Discount_%]]/100</f>
        <v>0.05</v>
      </c>
      <c r="J74">
        <v>8075</v>
      </c>
      <c r="K74" t="s">
        <v>15</v>
      </c>
    </row>
    <row r="75" spans="1:11" x14ac:dyDescent="0.25">
      <c r="A75">
        <v>1074</v>
      </c>
      <c r="B75" s="1">
        <v>46198</v>
      </c>
      <c r="C75" t="s">
        <v>38</v>
      </c>
      <c r="D75" t="s">
        <v>17</v>
      </c>
      <c r="E75" t="s">
        <v>33</v>
      </c>
      <c r="F75" t="s">
        <v>19</v>
      </c>
      <c r="G75">
        <v>3</v>
      </c>
      <c r="H75">
        <v>65000</v>
      </c>
      <c r="I75" s="2">
        <f ca="1">Table1[[#This Row],[Discount_%]]/100</f>
        <v>0.05</v>
      </c>
      <c r="J75">
        <v>185250</v>
      </c>
      <c r="K75" t="s">
        <v>20</v>
      </c>
    </row>
    <row r="76" spans="1:11" hidden="1" x14ac:dyDescent="0.25">
      <c r="A76">
        <v>1075</v>
      </c>
      <c r="B76" s="1">
        <v>46031</v>
      </c>
      <c r="C76" t="s">
        <v>43</v>
      </c>
      <c r="D76" t="s">
        <v>17</v>
      </c>
      <c r="E76" t="s">
        <v>36</v>
      </c>
      <c r="F76" t="s">
        <v>31</v>
      </c>
      <c r="G76">
        <v>4</v>
      </c>
      <c r="H76">
        <v>12000</v>
      </c>
      <c r="I76" s="2">
        <f ca="1">Table1[[#This Row],[Discount_%]]/100</f>
        <v>0</v>
      </c>
      <c r="J76">
        <v>48000</v>
      </c>
      <c r="K76" t="s">
        <v>25</v>
      </c>
    </row>
    <row r="77" spans="1:11" x14ac:dyDescent="0.25">
      <c r="A77">
        <v>1076</v>
      </c>
      <c r="B77" s="1">
        <v>46030</v>
      </c>
      <c r="C77" t="s">
        <v>26</v>
      </c>
      <c r="D77" t="s">
        <v>24</v>
      </c>
      <c r="E77" t="s">
        <v>33</v>
      </c>
      <c r="F77" t="s">
        <v>19</v>
      </c>
      <c r="G77">
        <v>1</v>
      </c>
      <c r="H77">
        <v>65000</v>
      </c>
      <c r="I77" s="2">
        <f ca="1">Table1[[#This Row],[Discount_%]]/100</f>
        <v>0.15</v>
      </c>
      <c r="J77">
        <v>55250</v>
      </c>
      <c r="K77" t="s">
        <v>29</v>
      </c>
    </row>
    <row r="78" spans="1:11" x14ac:dyDescent="0.25">
      <c r="A78">
        <v>1077</v>
      </c>
      <c r="B78" s="1">
        <v>46167</v>
      </c>
      <c r="C78" t="s">
        <v>39</v>
      </c>
      <c r="D78" t="s">
        <v>22</v>
      </c>
      <c r="E78" t="s">
        <v>23</v>
      </c>
      <c r="F78" t="s">
        <v>19</v>
      </c>
      <c r="G78">
        <v>3</v>
      </c>
      <c r="H78">
        <v>700</v>
      </c>
      <c r="I78" s="2">
        <f ca="1">Table1[[#This Row],[Discount_%]]/100</f>
        <v>0.1</v>
      </c>
      <c r="J78">
        <v>1890</v>
      </c>
      <c r="K78" t="s">
        <v>25</v>
      </c>
    </row>
    <row r="79" spans="1:11" hidden="1" x14ac:dyDescent="0.25">
      <c r="A79">
        <v>1078</v>
      </c>
      <c r="B79" s="1">
        <v>46071</v>
      </c>
      <c r="C79" t="s">
        <v>35</v>
      </c>
      <c r="D79" t="s">
        <v>40</v>
      </c>
      <c r="E79" t="s">
        <v>36</v>
      </c>
      <c r="F79" t="s">
        <v>31</v>
      </c>
      <c r="G79">
        <v>2</v>
      </c>
      <c r="H79">
        <v>12000</v>
      </c>
      <c r="I79" s="2">
        <f ca="1">Table1[[#This Row],[Discount_%]]/100</f>
        <v>0.05</v>
      </c>
      <c r="J79">
        <v>22800</v>
      </c>
      <c r="K79" t="s">
        <v>37</v>
      </c>
    </row>
    <row r="80" spans="1:11" hidden="1" x14ac:dyDescent="0.25">
      <c r="A80">
        <v>1079</v>
      </c>
      <c r="B80" s="1">
        <v>46151</v>
      </c>
      <c r="C80" t="s">
        <v>38</v>
      </c>
      <c r="D80" t="s">
        <v>24</v>
      </c>
      <c r="E80" t="s">
        <v>34</v>
      </c>
      <c r="F80" t="s">
        <v>14</v>
      </c>
      <c r="G80">
        <v>4</v>
      </c>
      <c r="H80">
        <v>20</v>
      </c>
      <c r="I80" s="2">
        <f ca="1">Table1[[#This Row],[Discount_%]]/100</f>
        <v>0.15</v>
      </c>
      <c r="J80">
        <v>68</v>
      </c>
      <c r="K80" t="s">
        <v>29</v>
      </c>
    </row>
    <row r="81" spans="1:11" hidden="1" x14ac:dyDescent="0.25">
      <c r="A81">
        <v>1080</v>
      </c>
      <c r="B81" s="1">
        <v>46066</v>
      </c>
      <c r="C81" t="s">
        <v>43</v>
      </c>
      <c r="D81" t="s">
        <v>22</v>
      </c>
      <c r="E81" t="s">
        <v>36</v>
      </c>
      <c r="F81" t="s">
        <v>31</v>
      </c>
      <c r="G81">
        <v>2</v>
      </c>
      <c r="H81">
        <v>12000</v>
      </c>
      <c r="I81" s="2">
        <f ca="1">Table1[[#This Row],[Discount_%]]/100</f>
        <v>0.05</v>
      </c>
      <c r="J81">
        <v>22800</v>
      </c>
      <c r="K81" t="s">
        <v>25</v>
      </c>
    </row>
    <row r="82" spans="1:11" hidden="1" x14ac:dyDescent="0.25">
      <c r="A82">
        <v>1081</v>
      </c>
      <c r="B82" s="1">
        <v>46047</v>
      </c>
      <c r="C82" t="s">
        <v>21</v>
      </c>
      <c r="D82" t="s">
        <v>24</v>
      </c>
      <c r="E82" t="s">
        <v>34</v>
      </c>
      <c r="F82" t="s">
        <v>14</v>
      </c>
      <c r="G82">
        <v>4</v>
      </c>
      <c r="H82">
        <v>20</v>
      </c>
      <c r="I82" s="2">
        <f ca="1">Table1[[#This Row],[Discount_%]]/100</f>
        <v>0.05</v>
      </c>
      <c r="J82">
        <v>76</v>
      </c>
      <c r="K82" t="s">
        <v>37</v>
      </c>
    </row>
    <row r="83" spans="1:11" hidden="1" x14ac:dyDescent="0.25">
      <c r="A83">
        <v>1082</v>
      </c>
      <c r="B83" s="1">
        <v>46049</v>
      </c>
      <c r="C83" t="s">
        <v>39</v>
      </c>
      <c r="D83" t="s">
        <v>12</v>
      </c>
      <c r="E83" t="s">
        <v>34</v>
      </c>
      <c r="F83" t="s">
        <v>14</v>
      </c>
      <c r="G83">
        <v>3</v>
      </c>
      <c r="H83">
        <v>20</v>
      </c>
      <c r="I83" s="2">
        <f ca="1">Table1[[#This Row],[Discount_%]]/100</f>
        <v>0.05</v>
      </c>
      <c r="J83">
        <v>57</v>
      </c>
      <c r="K83" t="s">
        <v>20</v>
      </c>
    </row>
    <row r="84" spans="1:11" x14ac:dyDescent="0.25">
      <c r="A84">
        <v>1083</v>
      </c>
      <c r="B84" s="1">
        <v>46027</v>
      </c>
      <c r="C84" t="s">
        <v>27</v>
      </c>
      <c r="D84" t="s">
        <v>40</v>
      </c>
      <c r="E84" t="s">
        <v>33</v>
      </c>
      <c r="F84" t="s">
        <v>19</v>
      </c>
      <c r="G84">
        <v>1</v>
      </c>
      <c r="H84">
        <v>65000</v>
      </c>
      <c r="I84" s="2">
        <f ca="1">Table1[[#This Row],[Discount_%]]/100</f>
        <v>0.05</v>
      </c>
      <c r="J84">
        <v>61750</v>
      </c>
      <c r="K84" t="s">
        <v>37</v>
      </c>
    </row>
    <row r="85" spans="1:11" x14ac:dyDescent="0.25">
      <c r="A85">
        <v>1084</v>
      </c>
      <c r="B85" s="1">
        <v>46068</v>
      </c>
      <c r="C85" t="s">
        <v>26</v>
      </c>
      <c r="D85" t="s">
        <v>22</v>
      </c>
      <c r="E85" t="s">
        <v>33</v>
      </c>
      <c r="F85" t="s">
        <v>19</v>
      </c>
      <c r="G85">
        <v>1</v>
      </c>
      <c r="H85">
        <v>65000</v>
      </c>
      <c r="I85" s="2">
        <f ca="1">Table1[[#This Row],[Discount_%]]/100</f>
        <v>0</v>
      </c>
      <c r="J85">
        <v>65000</v>
      </c>
      <c r="K85" t="s">
        <v>25</v>
      </c>
    </row>
    <row r="86" spans="1:11" hidden="1" x14ac:dyDescent="0.25">
      <c r="A86">
        <v>1085</v>
      </c>
      <c r="B86" s="1">
        <v>46096</v>
      </c>
      <c r="C86" t="s">
        <v>43</v>
      </c>
      <c r="D86" t="s">
        <v>40</v>
      </c>
      <c r="E86" t="s">
        <v>34</v>
      </c>
      <c r="F86" t="s">
        <v>14</v>
      </c>
      <c r="G86">
        <v>5</v>
      </c>
      <c r="H86">
        <v>20</v>
      </c>
      <c r="I86" s="2">
        <f ca="1">Table1[[#This Row],[Discount_%]]/100</f>
        <v>0.1</v>
      </c>
      <c r="J86">
        <v>90</v>
      </c>
      <c r="K86" t="s">
        <v>20</v>
      </c>
    </row>
    <row r="87" spans="1:11" hidden="1" x14ac:dyDescent="0.25">
      <c r="A87">
        <v>1086</v>
      </c>
      <c r="B87" s="1">
        <v>46148</v>
      </c>
      <c r="C87" t="s">
        <v>38</v>
      </c>
      <c r="D87" t="s">
        <v>24</v>
      </c>
      <c r="E87" t="s">
        <v>34</v>
      </c>
      <c r="F87" t="s">
        <v>14</v>
      </c>
      <c r="G87">
        <v>4</v>
      </c>
      <c r="H87">
        <v>20</v>
      </c>
      <c r="I87" s="2">
        <f ca="1">Table1[[#This Row],[Discount_%]]/100</f>
        <v>0.05</v>
      </c>
      <c r="J87">
        <v>76</v>
      </c>
      <c r="K87" t="s">
        <v>29</v>
      </c>
    </row>
    <row r="88" spans="1:11" hidden="1" x14ac:dyDescent="0.25">
      <c r="A88">
        <v>1087</v>
      </c>
      <c r="B88" s="1">
        <v>46201</v>
      </c>
      <c r="C88" t="s">
        <v>42</v>
      </c>
      <c r="D88" t="s">
        <v>12</v>
      </c>
      <c r="E88" t="s">
        <v>30</v>
      </c>
      <c r="F88" t="s">
        <v>31</v>
      </c>
      <c r="G88">
        <v>2</v>
      </c>
      <c r="H88">
        <v>8500</v>
      </c>
      <c r="I88" s="2">
        <f ca="1">Table1[[#This Row],[Discount_%]]/100</f>
        <v>0.15</v>
      </c>
      <c r="J88">
        <v>14450</v>
      </c>
      <c r="K88" t="s">
        <v>29</v>
      </c>
    </row>
    <row r="89" spans="1:11" hidden="1" x14ac:dyDescent="0.25">
      <c r="A89">
        <v>1088</v>
      </c>
      <c r="B89" s="1">
        <v>46099</v>
      </c>
      <c r="C89" t="s">
        <v>38</v>
      </c>
      <c r="D89" t="s">
        <v>22</v>
      </c>
      <c r="E89" t="s">
        <v>34</v>
      </c>
      <c r="F89" t="s">
        <v>14</v>
      </c>
      <c r="G89">
        <v>4</v>
      </c>
      <c r="H89">
        <v>20</v>
      </c>
      <c r="I89" s="2">
        <f ca="1">Table1[[#This Row],[Discount_%]]/100</f>
        <v>0</v>
      </c>
      <c r="J89">
        <v>80</v>
      </c>
      <c r="K89" t="s">
        <v>25</v>
      </c>
    </row>
    <row r="90" spans="1:11" x14ac:dyDescent="0.25">
      <c r="A90">
        <v>1089</v>
      </c>
      <c r="B90" s="1">
        <v>46024</v>
      </c>
      <c r="C90" t="s">
        <v>38</v>
      </c>
      <c r="D90" t="s">
        <v>40</v>
      </c>
      <c r="E90" t="s">
        <v>33</v>
      </c>
      <c r="F90" t="s">
        <v>19</v>
      </c>
      <c r="G90">
        <v>1</v>
      </c>
      <c r="H90">
        <v>65000</v>
      </c>
      <c r="I90" s="2">
        <f ca="1">Table1[[#This Row],[Discount_%]]/100</f>
        <v>0.15</v>
      </c>
      <c r="J90">
        <v>55250</v>
      </c>
      <c r="K90" t="s">
        <v>37</v>
      </c>
    </row>
    <row r="91" spans="1:11" x14ac:dyDescent="0.25">
      <c r="A91">
        <v>1090</v>
      </c>
      <c r="B91" s="1">
        <v>46141</v>
      </c>
      <c r="C91" t="s">
        <v>16</v>
      </c>
      <c r="D91" t="s">
        <v>12</v>
      </c>
      <c r="E91" t="s">
        <v>18</v>
      </c>
      <c r="F91" t="s">
        <v>19</v>
      </c>
      <c r="G91">
        <v>3</v>
      </c>
      <c r="H91">
        <v>15000</v>
      </c>
      <c r="I91" s="2">
        <f ca="1">Table1[[#This Row],[Discount_%]]/100</f>
        <v>0.15</v>
      </c>
      <c r="J91">
        <v>38250</v>
      </c>
      <c r="K91" t="s">
        <v>29</v>
      </c>
    </row>
    <row r="92" spans="1:11" hidden="1" x14ac:dyDescent="0.25">
      <c r="A92">
        <v>1091</v>
      </c>
      <c r="B92" s="1">
        <v>46108</v>
      </c>
      <c r="C92" t="s">
        <v>26</v>
      </c>
      <c r="D92" t="s">
        <v>28</v>
      </c>
      <c r="E92" t="s">
        <v>36</v>
      </c>
      <c r="F92" t="s">
        <v>31</v>
      </c>
      <c r="G92">
        <v>3</v>
      </c>
      <c r="H92">
        <v>12000</v>
      </c>
      <c r="I92" s="2">
        <f ca="1">Table1[[#This Row],[Discount_%]]/100</f>
        <v>0.15</v>
      </c>
      <c r="J92">
        <v>30600</v>
      </c>
      <c r="K92" t="s">
        <v>29</v>
      </c>
    </row>
    <row r="93" spans="1:11" x14ac:dyDescent="0.25">
      <c r="A93">
        <v>1092</v>
      </c>
      <c r="B93" s="1">
        <v>46196</v>
      </c>
      <c r="C93" t="s">
        <v>26</v>
      </c>
      <c r="D93" t="s">
        <v>22</v>
      </c>
      <c r="E93" t="s">
        <v>41</v>
      </c>
      <c r="F93" t="s">
        <v>19</v>
      </c>
      <c r="G93">
        <v>4</v>
      </c>
      <c r="H93">
        <v>1500</v>
      </c>
      <c r="I93" s="2">
        <f ca="1">Table1[[#This Row],[Discount_%]]/100</f>
        <v>0</v>
      </c>
      <c r="J93">
        <v>6000</v>
      </c>
      <c r="K93" t="s">
        <v>15</v>
      </c>
    </row>
    <row r="94" spans="1:11" hidden="1" x14ac:dyDescent="0.25">
      <c r="A94">
        <v>1093</v>
      </c>
      <c r="B94" s="1">
        <v>46061</v>
      </c>
      <c r="C94" t="s">
        <v>42</v>
      </c>
      <c r="D94" t="s">
        <v>12</v>
      </c>
      <c r="E94" t="s">
        <v>30</v>
      </c>
      <c r="F94" t="s">
        <v>31</v>
      </c>
      <c r="G94">
        <v>4</v>
      </c>
      <c r="H94">
        <v>8500</v>
      </c>
      <c r="I94" s="2">
        <f ca="1">Table1[[#This Row],[Discount_%]]/100</f>
        <v>0.15</v>
      </c>
      <c r="J94">
        <v>28900</v>
      </c>
      <c r="K94" t="s">
        <v>29</v>
      </c>
    </row>
    <row r="95" spans="1:11" x14ac:dyDescent="0.25">
      <c r="A95">
        <v>1094</v>
      </c>
      <c r="B95" s="1">
        <v>46086</v>
      </c>
      <c r="C95" t="s">
        <v>21</v>
      </c>
      <c r="D95" t="s">
        <v>24</v>
      </c>
      <c r="E95" t="s">
        <v>41</v>
      </c>
      <c r="F95" t="s">
        <v>19</v>
      </c>
      <c r="G95">
        <v>2</v>
      </c>
      <c r="H95">
        <v>1500</v>
      </c>
      <c r="I95" s="2">
        <f ca="1">Table1[[#This Row],[Discount_%]]/100</f>
        <v>0.15</v>
      </c>
      <c r="J95">
        <v>2550</v>
      </c>
      <c r="K95" t="s">
        <v>37</v>
      </c>
    </row>
    <row r="96" spans="1:11" x14ac:dyDescent="0.25">
      <c r="A96">
        <v>1095</v>
      </c>
      <c r="B96" s="1">
        <v>46100</v>
      </c>
      <c r="C96" t="s">
        <v>21</v>
      </c>
      <c r="D96" t="s">
        <v>17</v>
      </c>
      <c r="E96" t="s">
        <v>33</v>
      </c>
      <c r="F96" t="s">
        <v>19</v>
      </c>
      <c r="G96">
        <v>4</v>
      </c>
      <c r="H96">
        <v>65000</v>
      </c>
      <c r="I96" s="2">
        <f ca="1">Table1[[#This Row],[Discount_%]]/100</f>
        <v>0.1</v>
      </c>
      <c r="J96">
        <v>234000</v>
      </c>
      <c r="K96" t="s">
        <v>15</v>
      </c>
    </row>
    <row r="97" spans="1:11" hidden="1" x14ac:dyDescent="0.25">
      <c r="A97">
        <v>1096</v>
      </c>
      <c r="B97" s="1">
        <v>46039</v>
      </c>
      <c r="C97" t="s">
        <v>11</v>
      </c>
      <c r="D97" t="s">
        <v>32</v>
      </c>
      <c r="E97" t="s">
        <v>36</v>
      </c>
      <c r="F97" t="s">
        <v>31</v>
      </c>
      <c r="G97">
        <v>5</v>
      </c>
      <c r="H97">
        <v>12000</v>
      </c>
      <c r="I97" s="2">
        <f ca="1">Table1[[#This Row],[Discount_%]]/100</f>
        <v>0</v>
      </c>
      <c r="J97">
        <v>60000</v>
      </c>
      <c r="K97" t="s">
        <v>29</v>
      </c>
    </row>
    <row r="98" spans="1:11" hidden="1" x14ac:dyDescent="0.25">
      <c r="A98">
        <v>1097</v>
      </c>
      <c r="B98" s="1">
        <v>46174</v>
      </c>
      <c r="C98" t="s">
        <v>21</v>
      </c>
      <c r="D98" t="s">
        <v>22</v>
      </c>
      <c r="E98" t="s">
        <v>34</v>
      </c>
      <c r="F98" t="s">
        <v>14</v>
      </c>
      <c r="G98">
        <v>3</v>
      </c>
      <c r="H98">
        <v>20</v>
      </c>
      <c r="I98" s="2">
        <f ca="1">Table1[[#This Row],[Discount_%]]/100</f>
        <v>0.05</v>
      </c>
      <c r="J98">
        <v>57</v>
      </c>
      <c r="K98" t="s">
        <v>15</v>
      </c>
    </row>
    <row r="99" spans="1:11" hidden="1" x14ac:dyDescent="0.25">
      <c r="A99">
        <v>1098</v>
      </c>
      <c r="B99" s="1">
        <v>46136</v>
      </c>
      <c r="C99" t="s">
        <v>11</v>
      </c>
      <c r="D99" t="s">
        <v>12</v>
      </c>
      <c r="E99" t="s">
        <v>30</v>
      </c>
      <c r="F99" t="s">
        <v>31</v>
      </c>
      <c r="G99">
        <v>4</v>
      </c>
      <c r="H99">
        <v>8500</v>
      </c>
      <c r="I99" s="2">
        <f ca="1">Table1[[#This Row],[Discount_%]]/100</f>
        <v>0.1</v>
      </c>
      <c r="J99">
        <v>30600</v>
      </c>
      <c r="K99" t="s">
        <v>25</v>
      </c>
    </row>
    <row r="100" spans="1:11" x14ac:dyDescent="0.25">
      <c r="A100">
        <v>1099</v>
      </c>
      <c r="B100" s="1">
        <v>46084</v>
      </c>
      <c r="C100" t="s">
        <v>35</v>
      </c>
      <c r="D100" t="s">
        <v>32</v>
      </c>
      <c r="E100" t="s">
        <v>33</v>
      </c>
      <c r="F100" t="s">
        <v>19</v>
      </c>
      <c r="G100">
        <v>4</v>
      </c>
      <c r="H100">
        <v>65000</v>
      </c>
      <c r="I100" s="2">
        <f ca="1">Table1[[#This Row],[Discount_%]]/100</f>
        <v>0.05</v>
      </c>
      <c r="J100">
        <v>247000</v>
      </c>
      <c r="K100" t="s">
        <v>29</v>
      </c>
    </row>
    <row r="101" spans="1:11" hidden="1" x14ac:dyDescent="0.25">
      <c r="A101">
        <v>1100</v>
      </c>
      <c r="B101" s="1">
        <v>46134</v>
      </c>
      <c r="C101" t="s">
        <v>21</v>
      </c>
      <c r="D101" t="s">
        <v>32</v>
      </c>
      <c r="E101" t="s">
        <v>30</v>
      </c>
      <c r="F101" t="s">
        <v>31</v>
      </c>
      <c r="G101">
        <v>4</v>
      </c>
      <c r="H101">
        <v>8500</v>
      </c>
      <c r="I101" s="2">
        <f ca="1">Table1[[#This Row],[Discount_%]]/100</f>
        <v>0.05</v>
      </c>
      <c r="J101">
        <v>32300</v>
      </c>
      <c r="K101" t="s">
        <v>20</v>
      </c>
    </row>
    <row r="102" spans="1:11" x14ac:dyDescent="0.25">
      <c r="A102">
        <v>1101</v>
      </c>
      <c r="B102" s="1">
        <v>46146</v>
      </c>
      <c r="C102" t="s">
        <v>43</v>
      </c>
      <c r="D102" t="s">
        <v>28</v>
      </c>
      <c r="E102" t="s">
        <v>41</v>
      </c>
      <c r="F102" t="s">
        <v>19</v>
      </c>
      <c r="G102">
        <v>1</v>
      </c>
      <c r="H102">
        <v>1500</v>
      </c>
      <c r="I102" s="2">
        <f ca="1">Table1[[#This Row],[Discount_%]]/100</f>
        <v>0</v>
      </c>
      <c r="J102">
        <v>1500</v>
      </c>
      <c r="K102" t="s">
        <v>15</v>
      </c>
    </row>
    <row r="103" spans="1:11" x14ac:dyDescent="0.25">
      <c r="A103">
        <v>1102</v>
      </c>
      <c r="B103" s="1">
        <v>46183</v>
      </c>
      <c r="C103" t="s">
        <v>16</v>
      </c>
      <c r="D103" t="s">
        <v>40</v>
      </c>
      <c r="E103" t="s">
        <v>18</v>
      </c>
      <c r="F103" t="s">
        <v>19</v>
      </c>
      <c r="G103">
        <v>1</v>
      </c>
      <c r="H103">
        <v>15000</v>
      </c>
      <c r="I103" s="2">
        <f ca="1">Table1[[#This Row],[Discount_%]]/100</f>
        <v>0.15</v>
      </c>
      <c r="J103">
        <v>12750</v>
      </c>
      <c r="K103" t="s">
        <v>37</v>
      </c>
    </row>
    <row r="104" spans="1:11" hidden="1" x14ac:dyDescent="0.25">
      <c r="A104">
        <v>1103</v>
      </c>
      <c r="B104" s="1">
        <v>46196</v>
      </c>
      <c r="C104" t="s">
        <v>42</v>
      </c>
      <c r="D104" t="s">
        <v>24</v>
      </c>
      <c r="E104" t="s">
        <v>36</v>
      </c>
      <c r="F104" t="s">
        <v>31</v>
      </c>
      <c r="G104">
        <v>5</v>
      </c>
      <c r="H104">
        <v>12000</v>
      </c>
      <c r="I104" s="2">
        <f ca="1">Table1[[#This Row],[Discount_%]]/100</f>
        <v>0.15</v>
      </c>
      <c r="J104">
        <v>51000</v>
      </c>
      <c r="K104" t="s">
        <v>20</v>
      </c>
    </row>
    <row r="105" spans="1:11" x14ac:dyDescent="0.25">
      <c r="A105">
        <v>1104</v>
      </c>
      <c r="B105" s="1">
        <v>46075</v>
      </c>
      <c r="C105" t="s">
        <v>16</v>
      </c>
      <c r="D105" t="s">
        <v>32</v>
      </c>
      <c r="E105" t="s">
        <v>41</v>
      </c>
      <c r="F105" t="s">
        <v>19</v>
      </c>
      <c r="G105">
        <v>5</v>
      </c>
      <c r="H105">
        <v>1500</v>
      </c>
      <c r="I105" s="2">
        <f ca="1">Table1[[#This Row],[Discount_%]]/100</f>
        <v>0.15</v>
      </c>
      <c r="J105">
        <v>6375</v>
      </c>
      <c r="K105" t="s">
        <v>25</v>
      </c>
    </row>
    <row r="106" spans="1:11" x14ac:dyDescent="0.25">
      <c r="A106">
        <v>1105</v>
      </c>
      <c r="B106" s="1">
        <v>46139</v>
      </c>
      <c r="C106" t="s">
        <v>42</v>
      </c>
      <c r="D106" t="s">
        <v>40</v>
      </c>
      <c r="E106" t="s">
        <v>23</v>
      </c>
      <c r="F106" t="s">
        <v>19</v>
      </c>
      <c r="G106">
        <v>5</v>
      </c>
      <c r="H106">
        <v>700</v>
      </c>
      <c r="I106" s="2">
        <f ca="1">Table1[[#This Row],[Discount_%]]/100</f>
        <v>0.05</v>
      </c>
      <c r="J106">
        <v>3325</v>
      </c>
      <c r="K106" t="s">
        <v>29</v>
      </c>
    </row>
    <row r="107" spans="1:11" hidden="1" x14ac:dyDescent="0.25">
      <c r="A107">
        <v>1106</v>
      </c>
      <c r="B107" s="1">
        <v>46137</v>
      </c>
      <c r="C107" t="s">
        <v>43</v>
      </c>
      <c r="D107" t="s">
        <v>17</v>
      </c>
      <c r="E107" t="s">
        <v>34</v>
      </c>
      <c r="F107" t="s">
        <v>14</v>
      </c>
      <c r="G107">
        <v>2</v>
      </c>
      <c r="H107">
        <v>20</v>
      </c>
      <c r="I107" s="2">
        <f ca="1">Table1[[#This Row],[Discount_%]]/100</f>
        <v>0.15</v>
      </c>
      <c r="J107">
        <v>34</v>
      </c>
      <c r="K107" t="s">
        <v>20</v>
      </c>
    </row>
    <row r="108" spans="1:11" x14ac:dyDescent="0.25">
      <c r="A108">
        <v>1107</v>
      </c>
      <c r="B108" s="1">
        <v>46067</v>
      </c>
      <c r="C108" t="s">
        <v>39</v>
      </c>
      <c r="D108" t="s">
        <v>17</v>
      </c>
      <c r="E108" t="s">
        <v>41</v>
      </c>
      <c r="F108" t="s">
        <v>19</v>
      </c>
      <c r="G108">
        <v>4</v>
      </c>
      <c r="H108">
        <v>1500</v>
      </c>
      <c r="I108" s="2">
        <f ca="1">Table1[[#This Row],[Discount_%]]/100</f>
        <v>0</v>
      </c>
      <c r="J108">
        <v>6000</v>
      </c>
      <c r="K108" t="s">
        <v>15</v>
      </c>
    </row>
    <row r="109" spans="1:11" x14ac:dyDescent="0.25">
      <c r="A109">
        <v>1108</v>
      </c>
      <c r="B109" s="1">
        <v>46164</v>
      </c>
      <c r="C109" t="s">
        <v>27</v>
      </c>
      <c r="D109" t="s">
        <v>24</v>
      </c>
      <c r="E109" t="s">
        <v>41</v>
      </c>
      <c r="F109" t="s">
        <v>19</v>
      </c>
      <c r="G109">
        <v>2</v>
      </c>
      <c r="H109">
        <v>1500</v>
      </c>
      <c r="I109" s="2">
        <f ca="1">Table1[[#This Row],[Discount_%]]/100</f>
        <v>0</v>
      </c>
      <c r="J109">
        <v>3000</v>
      </c>
      <c r="K109" t="s">
        <v>20</v>
      </c>
    </row>
    <row r="110" spans="1:11" hidden="1" x14ac:dyDescent="0.25">
      <c r="A110">
        <v>1109</v>
      </c>
      <c r="B110" s="1">
        <v>46197</v>
      </c>
      <c r="C110" t="s">
        <v>16</v>
      </c>
      <c r="D110" t="s">
        <v>12</v>
      </c>
      <c r="E110" t="s">
        <v>13</v>
      </c>
      <c r="F110" t="s">
        <v>14</v>
      </c>
      <c r="G110">
        <v>5</v>
      </c>
      <c r="H110">
        <v>80</v>
      </c>
      <c r="I110" s="2">
        <f ca="1">Table1[[#This Row],[Discount_%]]/100</f>
        <v>0.1</v>
      </c>
      <c r="J110">
        <v>360</v>
      </c>
      <c r="K110" t="s">
        <v>29</v>
      </c>
    </row>
    <row r="111" spans="1:11" x14ac:dyDescent="0.25">
      <c r="A111">
        <v>1110</v>
      </c>
      <c r="B111" s="1">
        <v>46133</v>
      </c>
      <c r="C111" t="s">
        <v>39</v>
      </c>
      <c r="D111" t="s">
        <v>40</v>
      </c>
      <c r="E111" t="s">
        <v>33</v>
      </c>
      <c r="F111" t="s">
        <v>19</v>
      </c>
      <c r="G111">
        <v>4</v>
      </c>
      <c r="H111">
        <v>65000</v>
      </c>
      <c r="I111" s="2">
        <f ca="1">Table1[[#This Row],[Discount_%]]/100</f>
        <v>0.15</v>
      </c>
      <c r="J111">
        <v>221000</v>
      </c>
      <c r="K111" t="s">
        <v>25</v>
      </c>
    </row>
    <row r="112" spans="1:11" hidden="1" x14ac:dyDescent="0.25">
      <c r="A112">
        <v>1111</v>
      </c>
      <c r="B112" s="1">
        <v>46041</v>
      </c>
      <c r="C112" t="s">
        <v>26</v>
      </c>
      <c r="D112" t="s">
        <v>40</v>
      </c>
      <c r="E112" t="s">
        <v>34</v>
      </c>
      <c r="F112" t="s">
        <v>14</v>
      </c>
      <c r="G112">
        <v>5</v>
      </c>
      <c r="H112">
        <v>20</v>
      </c>
      <c r="I112" s="2">
        <f ca="1">Table1[[#This Row],[Discount_%]]/100</f>
        <v>0.1</v>
      </c>
      <c r="J112">
        <v>90</v>
      </c>
      <c r="K112" t="s">
        <v>25</v>
      </c>
    </row>
    <row r="113" spans="1:11" x14ac:dyDescent="0.25">
      <c r="A113">
        <v>1112</v>
      </c>
      <c r="B113" s="1">
        <v>46152</v>
      </c>
      <c r="C113" t="s">
        <v>16</v>
      </c>
      <c r="D113" t="s">
        <v>24</v>
      </c>
      <c r="E113" t="s">
        <v>18</v>
      </c>
      <c r="F113" t="s">
        <v>19</v>
      </c>
      <c r="G113">
        <v>5</v>
      </c>
      <c r="H113">
        <v>15000</v>
      </c>
      <c r="I113" s="2">
        <f ca="1">Table1[[#This Row],[Discount_%]]/100</f>
        <v>0.1</v>
      </c>
      <c r="J113">
        <v>67500</v>
      </c>
      <c r="K113" t="s">
        <v>29</v>
      </c>
    </row>
    <row r="114" spans="1:11" hidden="1" x14ac:dyDescent="0.25">
      <c r="A114">
        <v>1113</v>
      </c>
      <c r="B114" s="1">
        <v>46131</v>
      </c>
      <c r="C114" t="s">
        <v>16</v>
      </c>
      <c r="D114" t="s">
        <v>17</v>
      </c>
      <c r="E114" t="s">
        <v>34</v>
      </c>
      <c r="F114" t="s">
        <v>14</v>
      </c>
      <c r="G114">
        <v>1</v>
      </c>
      <c r="H114">
        <v>20</v>
      </c>
      <c r="I114" s="2">
        <f ca="1">Table1[[#This Row],[Discount_%]]/100</f>
        <v>0.05</v>
      </c>
      <c r="J114">
        <v>19</v>
      </c>
      <c r="K114" t="s">
        <v>20</v>
      </c>
    </row>
    <row r="115" spans="1:11" hidden="1" x14ac:dyDescent="0.25">
      <c r="A115">
        <v>1114</v>
      </c>
      <c r="B115" s="1">
        <v>46094</v>
      </c>
      <c r="C115" t="s">
        <v>21</v>
      </c>
      <c r="D115" t="s">
        <v>28</v>
      </c>
      <c r="E115" t="s">
        <v>36</v>
      </c>
      <c r="F115" t="s">
        <v>31</v>
      </c>
      <c r="G115">
        <v>1</v>
      </c>
      <c r="H115">
        <v>12000</v>
      </c>
      <c r="I115" s="2">
        <f ca="1">Table1[[#This Row],[Discount_%]]/100</f>
        <v>0.05</v>
      </c>
      <c r="J115">
        <v>11400</v>
      </c>
      <c r="K115" t="s">
        <v>20</v>
      </c>
    </row>
    <row r="116" spans="1:11" x14ac:dyDescent="0.25">
      <c r="A116">
        <v>1115</v>
      </c>
      <c r="B116" s="1">
        <v>46157</v>
      </c>
      <c r="C116" t="s">
        <v>11</v>
      </c>
      <c r="D116" t="s">
        <v>28</v>
      </c>
      <c r="E116" t="s">
        <v>33</v>
      </c>
      <c r="F116" t="s">
        <v>19</v>
      </c>
      <c r="G116">
        <v>1</v>
      </c>
      <c r="H116">
        <v>65000</v>
      </c>
      <c r="I116" s="2">
        <f ca="1">Table1[[#This Row],[Discount_%]]/100</f>
        <v>0.05</v>
      </c>
      <c r="J116">
        <v>61750</v>
      </c>
      <c r="K116" t="s">
        <v>25</v>
      </c>
    </row>
    <row r="117" spans="1:11" hidden="1" x14ac:dyDescent="0.25">
      <c r="A117">
        <v>1116</v>
      </c>
      <c r="B117" s="1">
        <v>46180</v>
      </c>
      <c r="C117" t="s">
        <v>38</v>
      </c>
      <c r="D117" t="s">
        <v>24</v>
      </c>
      <c r="E117" t="s">
        <v>36</v>
      </c>
      <c r="F117" t="s">
        <v>31</v>
      </c>
      <c r="G117">
        <v>1</v>
      </c>
      <c r="H117">
        <v>12000</v>
      </c>
      <c r="I117" s="2">
        <f ca="1">Table1[[#This Row],[Discount_%]]/100</f>
        <v>0.1</v>
      </c>
      <c r="J117">
        <v>10800</v>
      </c>
      <c r="K117" t="s">
        <v>25</v>
      </c>
    </row>
    <row r="118" spans="1:11" hidden="1" x14ac:dyDescent="0.25">
      <c r="A118">
        <v>1117</v>
      </c>
      <c r="B118" s="1">
        <v>46071</v>
      </c>
      <c r="C118" t="s">
        <v>16</v>
      </c>
      <c r="D118" t="s">
        <v>32</v>
      </c>
      <c r="E118" t="s">
        <v>34</v>
      </c>
      <c r="F118" t="s">
        <v>14</v>
      </c>
      <c r="G118">
        <v>4</v>
      </c>
      <c r="H118">
        <v>20</v>
      </c>
      <c r="I118" s="2">
        <f ca="1">Table1[[#This Row],[Discount_%]]/100</f>
        <v>0.05</v>
      </c>
      <c r="J118">
        <v>76</v>
      </c>
      <c r="K118" t="s">
        <v>25</v>
      </c>
    </row>
    <row r="119" spans="1:11" x14ac:dyDescent="0.25">
      <c r="A119">
        <v>1118</v>
      </c>
      <c r="B119" s="1">
        <v>46032</v>
      </c>
      <c r="C119" t="s">
        <v>35</v>
      </c>
      <c r="D119" t="s">
        <v>22</v>
      </c>
      <c r="E119" t="s">
        <v>18</v>
      </c>
      <c r="F119" t="s">
        <v>19</v>
      </c>
      <c r="G119">
        <v>2</v>
      </c>
      <c r="H119">
        <v>15000</v>
      </c>
      <c r="I119" s="2">
        <f ca="1">Table1[[#This Row],[Discount_%]]/100</f>
        <v>0.1</v>
      </c>
      <c r="J119">
        <v>27000</v>
      </c>
      <c r="K119" t="s">
        <v>15</v>
      </c>
    </row>
    <row r="120" spans="1:11" x14ac:dyDescent="0.25">
      <c r="A120">
        <v>1119</v>
      </c>
      <c r="B120" s="1">
        <v>46111</v>
      </c>
      <c r="C120" t="s">
        <v>11</v>
      </c>
      <c r="D120" t="s">
        <v>24</v>
      </c>
      <c r="E120" t="s">
        <v>33</v>
      </c>
      <c r="F120" t="s">
        <v>19</v>
      </c>
      <c r="G120">
        <v>3</v>
      </c>
      <c r="H120">
        <v>65000</v>
      </c>
      <c r="I120" s="2">
        <f ca="1">Table1[[#This Row],[Discount_%]]/100</f>
        <v>0.05</v>
      </c>
      <c r="J120">
        <v>185250</v>
      </c>
      <c r="K120" t="s">
        <v>29</v>
      </c>
    </row>
    <row r="121" spans="1:11" x14ac:dyDescent="0.25">
      <c r="A121">
        <v>1120</v>
      </c>
      <c r="B121" s="1">
        <v>46024</v>
      </c>
      <c r="C121" t="s">
        <v>21</v>
      </c>
      <c r="D121" t="s">
        <v>17</v>
      </c>
      <c r="E121" t="s">
        <v>33</v>
      </c>
      <c r="F121" t="s">
        <v>19</v>
      </c>
      <c r="G121">
        <v>5</v>
      </c>
      <c r="H121">
        <v>65000</v>
      </c>
      <c r="I121" s="2">
        <f ca="1">Table1[[#This Row],[Discount_%]]/100</f>
        <v>0.1</v>
      </c>
      <c r="J121">
        <v>292500</v>
      </c>
      <c r="K121" t="s">
        <v>25</v>
      </c>
    </row>
    <row r="122" spans="1:11" x14ac:dyDescent="0.25">
      <c r="A122">
        <v>1121</v>
      </c>
      <c r="B122" s="1">
        <v>46076</v>
      </c>
      <c r="C122" t="s">
        <v>38</v>
      </c>
      <c r="D122" t="s">
        <v>24</v>
      </c>
      <c r="E122" t="s">
        <v>23</v>
      </c>
      <c r="F122" t="s">
        <v>19</v>
      </c>
      <c r="G122">
        <v>5</v>
      </c>
      <c r="H122">
        <v>700</v>
      </c>
      <c r="I122" s="2">
        <f ca="1">Table1[[#This Row],[Discount_%]]/100</f>
        <v>0.1</v>
      </c>
      <c r="J122">
        <v>3150</v>
      </c>
      <c r="K122" t="s">
        <v>29</v>
      </c>
    </row>
    <row r="123" spans="1:11" x14ac:dyDescent="0.25">
      <c r="A123">
        <v>1122</v>
      </c>
      <c r="B123" s="1">
        <v>46092</v>
      </c>
      <c r="C123" t="s">
        <v>43</v>
      </c>
      <c r="D123" t="s">
        <v>32</v>
      </c>
      <c r="E123" t="s">
        <v>33</v>
      </c>
      <c r="F123" t="s">
        <v>19</v>
      </c>
      <c r="G123">
        <v>1</v>
      </c>
      <c r="H123">
        <v>65000</v>
      </c>
      <c r="I123" s="2">
        <f ca="1">Table1[[#This Row],[Discount_%]]/100</f>
        <v>0.05</v>
      </c>
      <c r="J123">
        <v>61750</v>
      </c>
      <c r="K123" t="s">
        <v>25</v>
      </c>
    </row>
    <row r="124" spans="1:11" hidden="1" x14ac:dyDescent="0.25">
      <c r="A124">
        <v>1123</v>
      </c>
      <c r="B124" s="1">
        <v>46110</v>
      </c>
      <c r="C124" t="s">
        <v>39</v>
      </c>
      <c r="D124" t="s">
        <v>28</v>
      </c>
      <c r="E124" t="s">
        <v>13</v>
      </c>
      <c r="F124" t="s">
        <v>14</v>
      </c>
      <c r="G124">
        <v>3</v>
      </c>
      <c r="H124">
        <v>80</v>
      </c>
      <c r="I124" s="2">
        <f ca="1">Table1[[#This Row],[Discount_%]]/100</f>
        <v>0.15</v>
      </c>
      <c r="J124">
        <v>204</v>
      </c>
      <c r="K124" t="s">
        <v>25</v>
      </c>
    </row>
    <row r="125" spans="1:11" hidden="1" x14ac:dyDescent="0.25">
      <c r="A125">
        <v>1124</v>
      </c>
      <c r="B125" s="1">
        <v>46069</v>
      </c>
      <c r="C125" t="s">
        <v>21</v>
      </c>
      <c r="D125" t="s">
        <v>24</v>
      </c>
      <c r="E125" t="s">
        <v>30</v>
      </c>
      <c r="F125" t="s">
        <v>31</v>
      </c>
      <c r="G125">
        <v>5</v>
      </c>
      <c r="H125">
        <v>8500</v>
      </c>
      <c r="I125" s="2">
        <f ca="1">Table1[[#This Row],[Discount_%]]/100</f>
        <v>0</v>
      </c>
      <c r="J125">
        <v>42500</v>
      </c>
      <c r="K125" t="s">
        <v>37</v>
      </c>
    </row>
    <row r="126" spans="1:11" x14ac:dyDescent="0.25">
      <c r="A126">
        <v>1125</v>
      </c>
      <c r="B126" s="1">
        <v>46029</v>
      </c>
      <c r="C126" t="s">
        <v>42</v>
      </c>
      <c r="D126" t="s">
        <v>24</v>
      </c>
      <c r="E126" t="s">
        <v>18</v>
      </c>
      <c r="F126" t="s">
        <v>19</v>
      </c>
      <c r="G126">
        <v>5</v>
      </c>
      <c r="H126">
        <v>15000</v>
      </c>
      <c r="I126" s="2">
        <f ca="1">Table1[[#This Row],[Discount_%]]/100</f>
        <v>0.15</v>
      </c>
      <c r="J126">
        <v>63750</v>
      </c>
      <c r="K126" t="s">
        <v>29</v>
      </c>
    </row>
    <row r="127" spans="1:11" x14ac:dyDescent="0.25">
      <c r="A127">
        <v>1126</v>
      </c>
      <c r="B127" s="1">
        <v>46073</v>
      </c>
      <c r="C127" t="s">
        <v>21</v>
      </c>
      <c r="D127" t="s">
        <v>17</v>
      </c>
      <c r="E127" t="s">
        <v>23</v>
      </c>
      <c r="F127" t="s">
        <v>19</v>
      </c>
      <c r="G127">
        <v>3</v>
      </c>
      <c r="H127">
        <v>700</v>
      </c>
      <c r="I127" s="2">
        <f ca="1">Table1[[#This Row],[Discount_%]]/100</f>
        <v>0.1</v>
      </c>
      <c r="J127">
        <v>1890</v>
      </c>
      <c r="K127" t="s">
        <v>29</v>
      </c>
    </row>
    <row r="128" spans="1:11" hidden="1" x14ac:dyDescent="0.25">
      <c r="A128">
        <v>1127</v>
      </c>
      <c r="B128" s="1">
        <v>46054</v>
      </c>
      <c r="C128" t="s">
        <v>39</v>
      </c>
      <c r="D128" t="s">
        <v>22</v>
      </c>
      <c r="E128" t="s">
        <v>30</v>
      </c>
      <c r="F128" t="s">
        <v>31</v>
      </c>
      <c r="G128">
        <v>5</v>
      </c>
      <c r="H128">
        <v>8500</v>
      </c>
      <c r="I128" s="2">
        <f ca="1">Table1[[#This Row],[Discount_%]]/100</f>
        <v>0.15</v>
      </c>
      <c r="J128">
        <v>36125</v>
      </c>
      <c r="K128" t="s">
        <v>20</v>
      </c>
    </row>
    <row r="129" spans="1:11" x14ac:dyDescent="0.25">
      <c r="A129">
        <v>1128</v>
      </c>
      <c r="B129" s="1">
        <v>46032</v>
      </c>
      <c r="C129" t="s">
        <v>16</v>
      </c>
      <c r="D129" t="s">
        <v>22</v>
      </c>
      <c r="E129" t="s">
        <v>18</v>
      </c>
      <c r="F129" t="s">
        <v>19</v>
      </c>
      <c r="G129">
        <v>4</v>
      </c>
      <c r="H129">
        <v>15000</v>
      </c>
      <c r="I129" s="2">
        <f ca="1">Table1[[#This Row],[Discount_%]]/100</f>
        <v>0.15</v>
      </c>
      <c r="J129">
        <v>51000</v>
      </c>
      <c r="K129" t="s">
        <v>15</v>
      </c>
    </row>
    <row r="130" spans="1:11" hidden="1" x14ac:dyDescent="0.25">
      <c r="A130">
        <v>1129</v>
      </c>
      <c r="B130" s="1">
        <v>46039</v>
      </c>
      <c r="C130" t="s">
        <v>16</v>
      </c>
      <c r="D130" t="s">
        <v>22</v>
      </c>
      <c r="E130" t="s">
        <v>34</v>
      </c>
      <c r="F130" t="s">
        <v>14</v>
      </c>
      <c r="G130">
        <v>2</v>
      </c>
      <c r="H130">
        <v>20</v>
      </c>
      <c r="I130" s="2">
        <f ca="1">Table1[[#This Row],[Discount_%]]/100</f>
        <v>0.05</v>
      </c>
      <c r="J130">
        <v>38</v>
      </c>
      <c r="K130" t="s">
        <v>15</v>
      </c>
    </row>
    <row r="131" spans="1:11" hidden="1" x14ac:dyDescent="0.25">
      <c r="A131">
        <v>1130</v>
      </c>
      <c r="B131" s="1">
        <v>46061</v>
      </c>
      <c r="C131" t="s">
        <v>38</v>
      </c>
      <c r="D131" t="s">
        <v>32</v>
      </c>
      <c r="E131" t="s">
        <v>34</v>
      </c>
      <c r="F131" t="s">
        <v>14</v>
      </c>
      <c r="G131">
        <v>5</v>
      </c>
      <c r="H131">
        <v>20</v>
      </c>
      <c r="I131" s="2">
        <f ca="1">Table1[[#This Row],[Discount_%]]/100</f>
        <v>0.1</v>
      </c>
      <c r="J131">
        <v>90</v>
      </c>
      <c r="K131" t="s">
        <v>25</v>
      </c>
    </row>
    <row r="132" spans="1:11" x14ac:dyDescent="0.25">
      <c r="A132">
        <v>1131</v>
      </c>
      <c r="B132" s="1">
        <v>46203</v>
      </c>
      <c r="C132" t="s">
        <v>16</v>
      </c>
      <c r="D132" t="s">
        <v>40</v>
      </c>
      <c r="E132" t="s">
        <v>41</v>
      </c>
      <c r="F132" t="s">
        <v>19</v>
      </c>
      <c r="G132">
        <v>5</v>
      </c>
      <c r="H132">
        <v>1500</v>
      </c>
      <c r="I132" s="2">
        <f ca="1">Table1[[#This Row],[Discount_%]]/100</f>
        <v>0.1</v>
      </c>
      <c r="J132">
        <v>6750</v>
      </c>
      <c r="K132" t="s">
        <v>37</v>
      </c>
    </row>
    <row r="133" spans="1:11" x14ac:dyDescent="0.25">
      <c r="A133">
        <v>1132</v>
      </c>
      <c r="B133" s="1">
        <v>46107</v>
      </c>
      <c r="C133" t="s">
        <v>38</v>
      </c>
      <c r="D133" t="s">
        <v>40</v>
      </c>
      <c r="E133" t="s">
        <v>41</v>
      </c>
      <c r="F133" t="s">
        <v>19</v>
      </c>
      <c r="G133">
        <v>1</v>
      </c>
      <c r="H133">
        <v>1500</v>
      </c>
      <c r="I133" s="2">
        <f ca="1">Table1[[#This Row],[Discount_%]]/100</f>
        <v>0</v>
      </c>
      <c r="J133">
        <v>1500</v>
      </c>
      <c r="K133" t="s">
        <v>15</v>
      </c>
    </row>
    <row r="134" spans="1:11" hidden="1" x14ac:dyDescent="0.25">
      <c r="A134">
        <v>1133</v>
      </c>
      <c r="B134" s="1">
        <v>46104</v>
      </c>
      <c r="C134" t="s">
        <v>39</v>
      </c>
      <c r="D134" t="s">
        <v>22</v>
      </c>
      <c r="E134" t="s">
        <v>34</v>
      </c>
      <c r="F134" t="s">
        <v>14</v>
      </c>
      <c r="G134">
        <v>4</v>
      </c>
      <c r="H134">
        <v>20</v>
      </c>
      <c r="I134" s="2">
        <f ca="1">Table1[[#This Row],[Discount_%]]/100</f>
        <v>0.15</v>
      </c>
      <c r="J134">
        <v>68</v>
      </c>
      <c r="K134" t="s">
        <v>15</v>
      </c>
    </row>
    <row r="135" spans="1:11" hidden="1" x14ac:dyDescent="0.25">
      <c r="A135">
        <v>1134</v>
      </c>
      <c r="B135" s="1">
        <v>46031</v>
      </c>
      <c r="C135" t="s">
        <v>16</v>
      </c>
      <c r="D135" t="s">
        <v>22</v>
      </c>
      <c r="E135" t="s">
        <v>30</v>
      </c>
      <c r="F135" t="s">
        <v>31</v>
      </c>
      <c r="G135">
        <v>1</v>
      </c>
      <c r="H135">
        <v>8500</v>
      </c>
      <c r="I135" s="2">
        <f ca="1">Table1[[#This Row],[Discount_%]]/100</f>
        <v>0.05</v>
      </c>
      <c r="J135">
        <v>8075</v>
      </c>
      <c r="K135" t="s">
        <v>29</v>
      </c>
    </row>
    <row r="136" spans="1:11" x14ac:dyDescent="0.25">
      <c r="A136">
        <v>1135</v>
      </c>
      <c r="B136" s="1">
        <v>46159</v>
      </c>
      <c r="C136" t="s">
        <v>38</v>
      </c>
      <c r="D136" t="s">
        <v>32</v>
      </c>
      <c r="E136" t="s">
        <v>23</v>
      </c>
      <c r="F136" t="s">
        <v>19</v>
      </c>
      <c r="G136">
        <v>5</v>
      </c>
      <c r="H136">
        <v>700</v>
      </c>
      <c r="I136" s="2">
        <f ca="1">Table1[[#This Row],[Discount_%]]/100</f>
        <v>0.15</v>
      </c>
      <c r="J136">
        <v>2975</v>
      </c>
      <c r="K136" t="s">
        <v>20</v>
      </c>
    </row>
    <row r="137" spans="1:11" hidden="1" x14ac:dyDescent="0.25">
      <c r="A137">
        <v>1136</v>
      </c>
      <c r="B137" s="1">
        <v>46113</v>
      </c>
      <c r="C137" t="s">
        <v>11</v>
      </c>
      <c r="D137" t="s">
        <v>22</v>
      </c>
      <c r="E137" t="s">
        <v>30</v>
      </c>
      <c r="F137" t="s">
        <v>31</v>
      </c>
      <c r="G137">
        <v>2</v>
      </c>
      <c r="H137">
        <v>8500</v>
      </c>
      <c r="I137" s="2">
        <f ca="1">Table1[[#This Row],[Discount_%]]/100</f>
        <v>0.1</v>
      </c>
      <c r="J137">
        <v>15300</v>
      </c>
      <c r="K137" t="s">
        <v>15</v>
      </c>
    </row>
    <row r="138" spans="1:11" hidden="1" x14ac:dyDescent="0.25">
      <c r="A138">
        <v>1137</v>
      </c>
      <c r="B138" s="1">
        <v>46190</v>
      </c>
      <c r="C138" t="s">
        <v>21</v>
      </c>
      <c r="D138" t="s">
        <v>17</v>
      </c>
      <c r="E138" t="s">
        <v>13</v>
      </c>
      <c r="F138" t="s">
        <v>14</v>
      </c>
      <c r="G138">
        <v>4</v>
      </c>
      <c r="H138">
        <v>80</v>
      </c>
      <c r="I138" s="2">
        <f ca="1">Table1[[#This Row],[Discount_%]]/100</f>
        <v>0</v>
      </c>
      <c r="J138">
        <v>320</v>
      </c>
      <c r="K138" t="s">
        <v>29</v>
      </c>
    </row>
    <row r="139" spans="1:11" x14ac:dyDescent="0.25">
      <c r="A139">
        <v>1138</v>
      </c>
      <c r="B139" s="1">
        <v>46108</v>
      </c>
      <c r="C139" t="s">
        <v>26</v>
      </c>
      <c r="D139" t="s">
        <v>32</v>
      </c>
      <c r="E139" t="s">
        <v>23</v>
      </c>
      <c r="F139" t="s">
        <v>19</v>
      </c>
      <c r="G139">
        <v>1</v>
      </c>
      <c r="H139">
        <v>700</v>
      </c>
      <c r="I139" s="2">
        <f ca="1">Table1[[#This Row],[Discount_%]]/100</f>
        <v>0.15</v>
      </c>
      <c r="J139">
        <v>595</v>
      </c>
      <c r="K139" t="s">
        <v>37</v>
      </c>
    </row>
    <row r="140" spans="1:11" x14ac:dyDescent="0.25">
      <c r="A140">
        <v>1139</v>
      </c>
      <c r="B140" s="1">
        <v>46182</v>
      </c>
      <c r="C140" t="s">
        <v>35</v>
      </c>
      <c r="D140" t="s">
        <v>17</v>
      </c>
      <c r="E140" t="s">
        <v>33</v>
      </c>
      <c r="F140" t="s">
        <v>19</v>
      </c>
      <c r="G140">
        <v>1</v>
      </c>
      <c r="H140">
        <v>65000</v>
      </c>
      <c r="I140" s="2">
        <f ca="1">Table1[[#This Row],[Discount_%]]/100</f>
        <v>0.05</v>
      </c>
      <c r="J140">
        <v>61750</v>
      </c>
      <c r="K140" t="s">
        <v>29</v>
      </c>
    </row>
    <row r="141" spans="1:11" x14ac:dyDescent="0.25">
      <c r="A141">
        <v>1140</v>
      </c>
      <c r="B141" s="1">
        <v>46103</v>
      </c>
      <c r="C141" t="s">
        <v>39</v>
      </c>
      <c r="D141" t="s">
        <v>17</v>
      </c>
      <c r="E141" t="s">
        <v>41</v>
      </c>
      <c r="F141" t="s">
        <v>19</v>
      </c>
      <c r="G141">
        <v>3</v>
      </c>
      <c r="H141">
        <v>1500</v>
      </c>
      <c r="I141" s="2">
        <f ca="1">Table1[[#This Row],[Discount_%]]/100</f>
        <v>0</v>
      </c>
      <c r="J141">
        <v>4500</v>
      </c>
      <c r="K141" t="s">
        <v>37</v>
      </c>
    </row>
    <row r="142" spans="1:11" hidden="1" x14ac:dyDescent="0.25">
      <c r="A142">
        <v>1141</v>
      </c>
      <c r="B142" s="1">
        <v>46110</v>
      </c>
      <c r="C142" t="s">
        <v>21</v>
      </c>
      <c r="D142" t="s">
        <v>17</v>
      </c>
      <c r="E142" t="s">
        <v>13</v>
      </c>
      <c r="F142" t="s">
        <v>14</v>
      </c>
      <c r="G142">
        <v>3</v>
      </c>
      <c r="H142">
        <v>80</v>
      </c>
      <c r="I142" s="2">
        <f ca="1">Table1[[#This Row],[Discount_%]]/100</f>
        <v>0.1</v>
      </c>
      <c r="J142">
        <v>216</v>
      </c>
      <c r="K142" t="s">
        <v>15</v>
      </c>
    </row>
    <row r="143" spans="1:11" hidden="1" x14ac:dyDescent="0.25">
      <c r="A143">
        <v>1142</v>
      </c>
      <c r="B143" s="1">
        <v>46145</v>
      </c>
      <c r="C143" t="s">
        <v>42</v>
      </c>
      <c r="D143" t="s">
        <v>40</v>
      </c>
      <c r="E143" t="s">
        <v>13</v>
      </c>
      <c r="F143" t="s">
        <v>14</v>
      </c>
      <c r="G143">
        <v>5</v>
      </c>
      <c r="H143">
        <v>80</v>
      </c>
      <c r="I143" s="2">
        <f ca="1">Table1[[#This Row],[Discount_%]]/100</f>
        <v>0.05</v>
      </c>
      <c r="J143">
        <v>380</v>
      </c>
      <c r="K143" t="s">
        <v>29</v>
      </c>
    </row>
    <row r="144" spans="1:11" x14ac:dyDescent="0.25">
      <c r="A144">
        <v>1143</v>
      </c>
      <c r="B144" s="1">
        <v>46137</v>
      </c>
      <c r="C144" t="s">
        <v>21</v>
      </c>
      <c r="D144" t="s">
        <v>28</v>
      </c>
      <c r="E144" t="s">
        <v>18</v>
      </c>
      <c r="F144" t="s">
        <v>19</v>
      </c>
      <c r="G144">
        <v>1</v>
      </c>
      <c r="H144">
        <v>15000</v>
      </c>
      <c r="I144" s="2">
        <f ca="1">Table1[[#This Row],[Discount_%]]/100</f>
        <v>0.15</v>
      </c>
      <c r="J144">
        <v>12750</v>
      </c>
      <c r="K144" t="s">
        <v>25</v>
      </c>
    </row>
    <row r="145" spans="1:11" hidden="1" x14ac:dyDescent="0.25">
      <c r="A145">
        <v>1144</v>
      </c>
      <c r="B145" s="1">
        <v>46191</v>
      </c>
      <c r="C145" t="s">
        <v>35</v>
      </c>
      <c r="D145" t="s">
        <v>12</v>
      </c>
      <c r="E145" t="s">
        <v>36</v>
      </c>
      <c r="F145" t="s">
        <v>31</v>
      </c>
      <c r="G145">
        <v>3</v>
      </c>
      <c r="H145">
        <v>12000</v>
      </c>
      <c r="I145" s="2">
        <f ca="1">Table1[[#This Row],[Discount_%]]/100</f>
        <v>0.15</v>
      </c>
      <c r="J145">
        <v>30600</v>
      </c>
      <c r="K145" t="s">
        <v>37</v>
      </c>
    </row>
    <row r="146" spans="1:11" x14ac:dyDescent="0.25">
      <c r="A146">
        <v>1145</v>
      </c>
      <c r="B146" s="1">
        <v>46130</v>
      </c>
      <c r="C146" t="s">
        <v>39</v>
      </c>
      <c r="D146" t="s">
        <v>28</v>
      </c>
      <c r="E146" t="s">
        <v>18</v>
      </c>
      <c r="F146" t="s">
        <v>19</v>
      </c>
      <c r="G146">
        <v>3</v>
      </c>
      <c r="H146">
        <v>15000</v>
      </c>
      <c r="I146" s="2">
        <f ca="1">Table1[[#This Row],[Discount_%]]/100</f>
        <v>0.15</v>
      </c>
      <c r="J146">
        <v>38250</v>
      </c>
      <c r="K146" t="s">
        <v>25</v>
      </c>
    </row>
    <row r="147" spans="1:11" hidden="1" x14ac:dyDescent="0.25">
      <c r="A147">
        <v>1146</v>
      </c>
      <c r="B147" s="1">
        <v>46062</v>
      </c>
      <c r="C147" t="s">
        <v>35</v>
      </c>
      <c r="D147" t="s">
        <v>32</v>
      </c>
      <c r="E147" t="s">
        <v>13</v>
      </c>
      <c r="F147" t="s">
        <v>14</v>
      </c>
      <c r="G147">
        <v>2</v>
      </c>
      <c r="H147">
        <v>80</v>
      </c>
      <c r="I147" s="2">
        <f ca="1">Table1[[#This Row],[Discount_%]]/100</f>
        <v>0</v>
      </c>
      <c r="J147">
        <v>160</v>
      </c>
      <c r="K147" t="s">
        <v>20</v>
      </c>
    </row>
    <row r="148" spans="1:11" hidden="1" x14ac:dyDescent="0.25">
      <c r="A148">
        <v>1147</v>
      </c>
      <c r="B148" s="1">
        <v>46159</v>
      </c>
      <c r="C148" t="s">
        <v>11</v>
      </c>
      <c r="D148" t="s">
        <v>24</v>
      </c>
      <c r="E148" t="s">
        <v>34</v>
      </c>
      <c r="F148" t="s">
        <v>14</v>
      </c>
      <c r="G148">
        <v>1</v>
      </c>
      <c r="H148">
        <v>20</v>
      </c>
      <c r="I148" s="2">
        <f ca="1">Table1[[#This Row],[Discount_%]]/100</f>
        <v>0.1</v>
      </c>
      <c r="J148">
        <v>18</v>
      </c>
      <c r="K148" t="s">
        <v>25</v>
      </c>
    </row>
    <row r="149" spans="1:11" x14ac:dyDescent="0.25">
      <c r="A149">
        <v>1148</v>
      </c>
      <c r="B149" s="1">
        <v>46032</v>
      </c>
      <c r="C149" t="s">
        <v>11</v>
      </c>
      <c r="D149" t="s">
        <v>28</v>
      </c>
      <c r="E149" t="s">
        <v>41</v>
      </c>
      <c r="F149" t="s">
        <v>19</v>
      </c>
      <c r="G149">
        <v>3</v>
      </c>
      <c r="H149">
        <v>1500</v>
      </c>
      <c r="I149" s="2">
        <f ca="1">Table1[[#This Row],[Discount_%]]/100</f>
        <v>0.15</v>
      </c>
      <c r="J149">
        <v>3825</v>
      </c>
      <c r="K149" t="s">
        <v>20</v>
      </c>
    </row>
    <row r="150" spans="1:11" x14ac:dyDescent="0.25">
      <c r="A150">
        <v>1149</v>
      </c>
      <c r="B150" s="1">
        <v>46087</v>
      </c>
      <c r="C150" t="s">
        <v>39</v>
      </c>
      <c r="D150" t="s">
        <v>32</v>
      </c>
      <c r="E150" t="s">
        <v>18</v>
      </c>
      <c r="F150" t="s">
        <v>19</v>
      </c>
      <c r="G150">
        <v>1</v>
      </c>
      <c r="H150">
        <v>15000</v>
      </c>
      <c r="I150" s="2">
        <f ca="1">Table1[[#This Row],[Discount_%]]/100</f>
        <v>0</v>
      </c>
      <c r="J150">
        <v>15000</v>
      </c>
      <c r="K150" t="s">
        <v>25</v>
      </c>
    </row>
    <row r="151" spans="1:11" hidden="1" x14ac:dyDescent="0.25">
      <c r="A151">
        <v>1150</v>
      </c>
      <c r="B151" s="1">
        <v>46049</v>
      </c>
      <c r="C151" t="s">
        <v>21</v>
      </c>
      <c r="D151" t="s">
        <v>40</v>
      </c>
      <c r="E151" t="s">
        <v>30</v>
      </c>
      <c r="F151" t="s">
        <v>31</v>
      </c>
      <c r="G151">
        <v>4</v>
      </c>
      <c r="H151">
        <v>8500</v>
      </c>
      <c r="I151" s="2">
        <f ca="1">Table1[[#This Row],[Discount_%]]/100</f>
        <v>0.1</v>
      </c>
      <c r="J151">
        <v>30600</v>
      </c>
      <c r="K151" t="s">
        <v>25</v>
      </c>
    </row>
    <row r="152" spans="1:11" hidden="1" x14ac:dyDescent="0.25">
      <c r="A152">
        <v>1151</v>
      </c>
      <c r="B152" s="1">
        <v>46086</v>
      </c>
      <c r="C152" t="s">
        <v>35</v>
      </c>
      <c r="D152" t="s">
        <v>32</v>
      </c>
      <c r="E152" t="s">
        <v>36</v>
      </c>
      <c r="F152" t="s">
        <v>31</v>
      </c>
      <c r="G152">
        <v>3</v>
      </c>
      <c r="H152">
        <v>12000</v>
      </c>
      <c r="I152" s="2">
        <f ca="1">Table1[[#This Row],[Discount_%]]/100</f>
        <v>0.15</v>
      </c>
      <c r="J152">
        <v>30600</v>
      </c>
      <c r="K152" t="s">
        <v>20</v>
      </c>
    </row>
    <row r="153" spans="1:11" hidden="1" x14ac:dyDescent="0.25">
      <c r="A153">
        <v>1152</v>
      </c>
      <c r="B153" s="1">
        <v>46071</v>
      </c>
      <c r="C153" t="s">
        <v>16</v>
      </c>
      <c r="D153" t="s">
        <v>22</v>
      </c>
      <c r="E153" t="s">
        <v>34</v>
      </c>
      <c r="F153" t="s">
        <v>14</v>
      </c>
      <c r="G153">
        <v>3</v>
      </c>
      <c r="H153">
        <v>20</v>
      </c>
      <c r="I153" s="2">
        <f ca="1">Table1[[#This Row],[Discount_%]]/100</f>
        <v>0.15</v>
      </c>
      <c r="J153">
        <v>51</v>
      </c>
      <c r="K153" t="s">
        <v>20</v>
      </c>
    </row>
    <row r="154" spans="1:11" x14ac:dyDescent="0.25">
      <c r="A154">
        <v>1153</v>
      </c>
      <c r="B154" s="1">
        <v>46196</v>
      </c>
      <c r="C154" t="s">
        <v>39</v>
      </c>
      <c r="D154" t="s">
        <v>32</v>
      </c>
      <c r="E154" t="s">
        <v>41</v>
      </c>
      <c r="F154" t="s">
        <v>19</v>
      </c>
      <c r="G154">
        <v>3</v>
      </c>
      <c r="H154">
        <v>1500</v>
      </c>
      <c r="I154" s="2">
        <f ca="1">Table1[[#This Row],[Discount_%]]/100</f>
        <v>0</v>
      </c>
      <c r="J154">
        <v>4500</v>
      </c>
      <c r="K154" t="s">
        <v>29</v>
      </c>
    </row>
    <row r="155" spans="1:11" hidden="1" x14ac:dyDescent="0.25">
      <c r="A155">
        <v>1154</v>
      </c>
      <c r="B155" s="1">
        <v>46089</v>
      </c>
      <c r="C155" t="s">
        <v>26</v>
      </c>
      <c r="D155" t="s">
        <v>24</v>
      </c>
      <c r="E155" t="s">
        <v>36</v>
      </c>
      <c r="F155" t="s">
        <v>31</v>
      </c>
      <c r="G155">
        <v>3</v>
      </c>
      <c r="H155">
        <v>12000</v>
      </c>
      <c r="I155" s="2">
        <f ca="1">Table1[[#This Row],[Discount_%]]/100</f>
        <v>0.1</v>
      </c>
      <c r="J155">
        <v>32400</v>
      </c>
      <c r="K155" t="s">
        <v>15</v>
      </c>
    </row>
    <row r="156" spans="1:11" x14ac:dyDescent="0.25">
      <c r="A156">
        <v>1155</v>
      </c>
      <c r="B156" s="1">
        <v>46073</v>
      </c>
      <c r="C156" t="s">
        <v>39</v>
      </c>
      <c r="D156" t="s">
        <v>32</v>
      </c>
      <c r="E156" t="s">
        <v>33</v>
      </c>
      <c r="F156" t="s">
        <v>19</v>
      </c>
      <c r="G156">
        <v>4</v>
      </c>
      <c r="H156">
        <v>65000</v>
      </c>
      <c r="I156" s="2">
        <f ca="1">Table1[[#This Row],[Discount_%]]/100</f>
        <v>0.1</v>
      </c>
      <c r="J156">
        <v>234000</v>
      </c>
      <c r="K156" t="s">
        <v>25</v>
      </c>
    </row>
    <row r="157" spans="1:11" x14ac:dyDescent="0.25">
      <c r="A157">
        <v>1156</v>
      </c>
      <c r="B157" s="1">
        <v>46182</v>
      </c>
      <c r="C157" t="s">
        <v>26</v>
      </c>
      <c r="D157" t="s">
        <v>24</v>
      </c>
      <c r="E157" t="s">
        <v>41</v>
      </c>
      <c r="F157" t="s">
        <v>19</v>
      </c>
      <c r="G157">
        <v>1</v>
      </c>
      <c r="H157">
        <v>1500</v>
      </c>
      <c r="I157" s="2">
        <f ca="1">Table1[[#This Row],[Discount_%]]/100</f>
        <v>0</v>
      </c>
      <c r="J157">
        <v>1500</v>
      </c>
      <c r="K157" t="s">
        <v>20</v>
      </c>
    </row>
    <row r="158" spans="1:11" x14ac:dyDescent="0.25">
      <c r="A158">
        <v>1157</v>
      </c>
      <c r="B158" s="1">
        <v>46035</v>
      </c>
      <c r="C158" t="s">
        <v>43</v>
      </c>
      <c r="D158" t="s">
        <v>28</v>
      </c>
      <c r="E158" t="s">
        <v>41</v>
      </c>
      <c r="F158" t="s">
        <v>19</v>
      </c>
      <c r="G158">
        <v>1</v>
      </c>
      <c r="H158">
        <v>1500</v>
      </c>
      <c r="I158" s="2">
        <f ca="1">Table1[[#This Row],[Discount_%]]/100</f>
        <v>0.1</v>
      </c>
      <c r="J158">
        <v>1350</v>
      </c>
      <c r="K158" t="s">
        <v>25</v>
      </c>
    </row>
    <row r="159" spans="1:11" hidden="1" x14ac:dyDescent="0.25">
      <c r="A159">
        <v>1158</v>
      </c>
      <c r="B159" s="1">
        <v>46174</v>
      </c>
      <c r="C159" t="s">
        <v>21</v>
      </c>
      <c r="D159" t="s">
        <v>22</v>
      </c>
      <c r="E159" t="s">
        <v>34</v>
      </c>
      <c r="F159" t="s">
        <v>14</v>
      </c>
      <c r="G159">
        <v>1</v>
      </c>
      <c r="H159">
        <v>20</v>
      </c>
      <c r="I159" s="2">
        <f ca="1">Table1[[#This Row],[Discount_%]]/100</f>
        <v>0.15</v>
      </c>
      <c r="J159">
        <v>17</v>
      </c>
      <c r="K159" t="s">
        <v>29</v>
      </c>
    </row>
    <row r="160" spans="1:11" hidden="1" x14ac:dyDescent="0.25">
      <c r="A160">
        <v>1159</v>
      </c>
      <c r="B160" s="1">
        <v>46065</v>
      </c>
      <c r="C160" t="s">
        <v>35</v>
      </c>
      <c r="D160" t="s">
        <v>32</v>
      </c>
      <c r="E160" t="s">
        <v>13</v>
      </c>
      <c r="F160" t="s">
        <v>14</v>
      </c>
      <c r="G160">
        <v>2</v>
      </c>
      <c r="H160">
        <v>80</v>
      </c>
      <c r="I160" s="2">
        <f ca="1">Table1[[#This Row],[Discount_%]]/100</f>
        <v>0.15</v>
      </c>
      <c r="J160">
        <v>136</v>
      </c>
      <c r="K160" t="s">
        <v>37</v>
      </c>
    </row>
    <row r="161" spans="1:11" x14ac:dyDescent="0.25">
      <c r="A161">
        <v>1160</v>
      </c>
      <c r="B161" s="1">
        <v>46096</v>
      </c>
      <c r="C161" t="s">
        <v>27</v>
      </c>
      <c r="D161" t="s">
        <v>22</v>
      </c>
      <c r="E161" t="s">
        <v>18</v>
      </c>
      <c r="F161" t="s">
        <v>19</v>
      </c>
      <c r="G161">
        <v>5</v>
      </c>
      <c r="H161">
        <v>15000</v>
      </c>
      <c r="I161" s="2">
        <f ca="1">Table1[[#This Row],[Discount_%]]/100</f>
        <v>0</v>
      </c>
      <c r="J161">
        <v>75000</v>
      </c>
      <c r="K161" t="s">
        <v>37</v>
      </c>
    </row>
    <row r="162" spans="1:11" hidden="1" x14ac:dyDescent="0.25">
      <c r="A162">
        <v>1161</v>
      </c>
      <c r="B162" s="1">
        <v>46111</v>
      </c>
      <c r="C162" t="s">
        <v>43</v>
      </c>
      <c r="D162" t="s">
        <v>32</v>
      </c>
      <c r="E162" t="s">
        <v>30</v>
      </c>
      <c r="F162" t="s">
        <v>31</v>
      </c>
      <c r="G162">
        <v>4</v>
      </c>
      <c r="H162">
        <v>8500</v>
      </c>
      <c r="I162" s="2">
        <f ca="1">Table1[[#This Row],[Discount_%]]/100</f>
        <v>0</v>
      </c>
      <c r="J162">
        <v>34000</v>
      </c>
      <c r="K162" t="s">
        <v>15</v>
      </c>
    </row>
    <row r="163" spans="1:11" hidden="1" x14ac:dyDescent="0.25">
      <c r="A163">
        <v>1162</v>
      </c>
      <c r="B163" s="1">
        <v>46023</v>
      </c>
      <c r="C163" t="s">
        <v>16</v>
      </c>
      <c r="D163" t="s">
        <v>24</v>
      </c>
      <c r="E163" t="s">
        <v>34</v>
      </c>
      <c r="F163" t="s">
        <v>14</v>
      </c>
      <c r="G163">
        <v>5</v>
      </c>
      <c r="H163">
        <v>20</v>
      </c>
      <c r="I163" s="2">
        <f ca="1">Table1[[#This Row],[Discount_%]]/100</f>
        <v>0.1</v>
      </c>
      <c r="J163">
        <v>90</v>
      </c>
      <c r="K163" t="s">
        <v>15</v>
      </c>
    </row>
    <row r="164" spans="1:11" x14ac:dyDescent="0.25">
      <c r="A164">
        <v>1163</v>
      </c>
      <c r="B164" s="1">
        <v>46127</v>
      </c>
      <c r="C164" t="s">
        <v>26</v>
      </c>
      <c r="D164" t="s">
        <v>24</v>
      </c>
      <c r="E164" t="s">
        <v>23</v>
      </c>
      <c r="F164" t="s">
        <v>19</v>
      </c>
      <c r="G164">
        <v>5</v>
      </c>
      <c r="H164">
        <v>700</v>
      </c>
      <c r="I164" s="2">
        <f ca="1">Table1[[#This Row],[Discount_%]]/100</f>
        <v>0.15</v>
      </c>
      <c r="J164">
        <v>2975</v>
      </c>
      <c r="K164" t="s">
        <v>25</v>
      </c>
    </row>
    <row r="165" spans="1:11" x14ac:dyDescent="0.25">
      <c r="A165">
        <v>1164</v>
      </c>
      <c r="B165" s="1">
        <v>46109</v>
      </c>
      <c r="C165" t="s">
        <v>43</v>
      </c>
      <c r="D165" t="s">
        <v>22</v>
      </c>
      <c r="E165" t="s">
        <v>33</v>
      </c>
      <c r="F165" t="s">
        <v>19</v>
      </c>
      <c r="G165">
        <v>2</v>
      </c>
      <c r="H165">
        <v>65000</v>
      </c>
      <c r="I165" s="2">
        <f ca="1">Table1[[#This Row],[Discount_%]]/100</f>
        <v>0.15</v>
      </c>
      <c r="J165">
        <v>110500</v>
      </c>
      <c r="K165" t="s">
        <v>15</v>
      </c>
    </row>
    <row r="166" spans="1:11" x14ac:dyDescent="0.25">
      <c r="A166">
        <v>1165</v>
      </c>
      <c r="B166" s="1">
        <v>46023</v>
      </c>
      <c r="C166" t="s">
        <v>38</v>
      </c>
      <c r="D166" t="s">
        <v>24</v>
      </c>
      <c r="E166" t="s">
        <v>18</v>
      </c>
      <c r="F166" t="s">
        <v>19</v>
      </c>
      <c r="G166">
        <v>1</v>
      </c>
      <c r="H166">
        <v>15000</v>
      </c>
      <c r="I166" s="2">
        <f ca="1">Table1[[#This Row],[Discount_%]]/100</f>
        <v>0</v>
      </c>
      <c r="J166">
        <v>15000</v>
      </c>
      <c r="K166" t="s">
        <v>37</v>
      </c>
    </row>
    <row r="167" spans="1:11" x14ac:dyDescent="0.25">
      <c r="A167">
        <v>1166</v>
      </c>
      <c r="B167" s="1">
        <v>46118</v>
      </c>
      <c r="C167" t="s">
        <v>43</v>
      </c>
      <c r="D167" t="s">
        <v>28</v>
      </c>
      <c r="E167" t="s">
        <v>33</v>
      </c>
      <c r="F167" t="s">
        <v>19</v>
      </c>
      <c r="G167">
        <v>1</v>
      </c>
      <c r="H167">
        <v>65000</v>
      </c>
      <c r="I167" s="2">
        <f ca="1">Table1[[#This Row],[Discount_%]]/100</f>
        <v>0.05</v>
      </c>
      <c r="J167">
        <v>61750</v>
      </c>
      <c r="K167" t="s">
        <v>25</v>
      </c>
    </row>
    <row r="168" spans="1:11" hidden="1" x14ac:dyDescent="0.25">
      <c r="A168">
        <v>1167</v>
      </c>
      <c r="B168" s="1">
        <v>46163</v>
      </c>
      <c r="C168" t="s">
        <v>11</v>
      </c>
      <c r="D168" t="s">
        <v>24</v>
      </c>
      <c r="E168" t="s">
        <v>30</v>
      </c>
      <c r="F168" t="s">
        <v>31</v>
      </c>
      <c r="G168">
        <v>2</v>
      </c>
      <c r="H168">
        <v>8500</v>
      </c>
      <c r="I168" s="2">
        <f ca="1">Table1[[#This Row],[Discount_%]]/100</f>
        <v>0.05</v>
      </c>
      <c r="J168">
        <v>16150</v>
      </c>
      <c r="K168" t="s">
        <v>25</v>
      </c>
    </row>
    <row r="169" spans="1:11" x14ac:dyDescent="0.25">
      <c r="A169">
        <v>1168</v>
      </c>
      <c r="B169" s="1">
        <v>46102</v>
      </c>
      <c r="C169" t="s">
        <v>38</v>
      </c>
      <c r="D169" t="s">
        <v>24</v>
      </c>
      <c r="E169" t="s">
        <v>41</v>
      </c>
      <c r="F169" t="s">
        <v>19</v>
      </c>
      <c r="G169">
        <v>2</v>
      </c>
      <c r="H169">
        <v>1500</v>
      </c>
      <c r="I169" s="2">
        <f ca="1">Table1[[#This Row],[Discount_%]]/100</f>
        <v>0.1</v>
      </c>
      <c r="J169">
        <v>2700</v>
      </c>
      <c r="K169" t="s">
        <v>15</v>
      </c>
    </row>
    <row r="170" spans="1:11" x14ac:dyDescent="0.25">
      <c r="A170">
        <v>1169</v>
      </c>
      <c r="B170" s="1">
        <v>46044</v>
      </c>
      <c r="C170" t="s">
        <v>39</v>
      </c>
      <c r="D170" t="s">
        <v>17</v>
      </c>
      <c r="E170" t="s">
        <v>23</v>
      </c>
      <c r="F170" t="s">
        <v>19</v>
      </c>
      <c r="G170">
        <v>3</v>
      </c>
      <c r="H170">
        <v>700</v>
      </c>
      <c r="I170" s="2">
        <f ca="1">Table1[[#This Row],[Discount_%]]/100</f>
        <v>0</v>
      </c>
      <c r="J170">
        <v>2100</v>
      </c>
      <c r="K170" t="s">
        <v>29</v>
      </c>
    </row>
    <row r="171" spans="1:11" x14ac:dyDescent="0.25">
      <c r="A171">
        <v>1170</v>
      </c>
      <c r="B171" s="1">
        <v>46045</v>
      </c>
      <c r="C171" t="s">
        <v>21</v>
      </c>
      <c r="D171" t="s">
        <v>32</v>
      </c>
      <c r="E171" t="s">
        <v>33</v>
      </c>
      <c r="F171" t="s">
        <v>19</v>
      </c>
      <c r="G171">
        <v>2</v>
      </c>
      <c r="H171">
        <v>65000</v>
      </c>
      <c r="I171" s="2">
        <f ca="1">Table1[[#This Row],[Discount_%]]/100</f>
        <v>0</v>
      </c>
      <c r="J171">
        <v>130000</v>
      </c>
      <c r="K171" t="s">
        <v>25</v>
      </c>
    </row>
    <row r="172" spans="1:11" hidden="1" x14ac:dyDescent="0.25">
      <c r="A172">
        <v>1171</v>
      </c>
      <c r="B172" s="1">
        <v>46168</v>
      </c>
      <c r="C172" t="s">
        <v>39</v>
      </c>
      <c r="D172" t="s">
        <v>22</v>
      </c>
      <c r="E172" t="s">
        <v>13</v>
      </c>
      <c r="F172" t="s">
        <v>14</v>
      </c>
      <c r="G172">
        <v>4</v>
      </c>
      <c r="H172">
        <v>80</v>
      </c>
      <c r="I172" s="2">
        <f ca="1">Table1[[#This Row],[Discount_%]]/100</f>
        <v>0.15</v>
      </c>
      <c r="J172">
        <v>272</v>
      </c>
      <c r="K172" t="s">
        <v>37</v>
      </c>
    </row>
    <row r="173" spans="1:11" x14ac:dyDescent="0.25">
      <c r="A173">
        <v>1172</v>
      </c>
      <c r="B173" s="1">
        <v>46038</v>
      </c>
      <c r="C173" t="s">
        <v>42</v>
      </c>
      <c r="D173" t="s">
        <v>22</v>
      </c>
      <c r="E173" t="s">
        <v>41</v>
      </c>
      <c r="F173" t="s">
        <v>19</v>
      </c>
      <c r="G173">
        <v>5</v>
      </c>
      <c r="H173">
        <v>1500</v>
      </c>
      <c r="I173" s="2">
        <f ca="1">Table1[[#This Row],[Discount_%]]/100</f>
        <v>0</v>
      </c>
      <c r="J173">
        <v>7500</v>
      </c>
      <c r="K173" t="s">
        <v>15</v>
      </c>
    </row>
    <row r="174" spans="1:11" x14ac:dyDescent="0.25">
      <c r="A174">
        <v>1173</v>
      </c>
      <c r="B174" s="1">
        <v>46059</v>
      </c>
      <c r="C174" t="s">
        <v>38</v>
      </c>
      <c r="D174" t="s">
        <v>17</v>
      </c>
      <c r="E174" t="s">
        <v>41</v>
      </c>
      <c r="F174" t="s">
        <v>19</v>
      </c>
      <c r="G174">
        <v>1</v>
      </c>
      <c r="H174">
        <v>1500</v>
      </c>
      <c r="I174" s="2">
        <f ca="1">Table1[[#This Row],[Discount_%]]/100</f>
        <v>0.15</v>
      </c>
      <c r="J174">
        <v>1275</v>
      </c>
      <c r="K174" t="s">
        <v>15</v>
      </c>
    </row>
    <row r="175" spans="1:11" x14ac:dyDescent="0.25">
      <c r="A175">
        <v>1174</v>
      </c>
      <c r="B175" s="1">
        <v>46076</v>
      </c>
      <c r="C175" t="s">
        <v>27</v>
      </c>
      <c r="D175" t="s">
        <v>17</v>
      </c>
      <c r="E175" t="s">
        <v>41</v>
      </c>
      <c r="F175" t="s">
        <v>19</v>
      </c>
      <c r="G175">
        <v>4</v>
      </c>
      <c r="H175">
        <v>1500</v>
      </c>
      <c r="I175" s="2">
        <f ca="1">Table1[[#This Row],[Discount_%]]/100</f>
        <v>0.1</v>
      </c>
      <c r="J175">
        <v>5400</v>
      </c>
      <c r="K175" t="s">
        <v>15</v>
      </c>
    </row>
    <row r="176" spans="1:11" x14ac:dyDescent="0.25">
      <c r="A176">
        <v>1175</v>
      </c>
      <c r="B176" s="1">
        <v>46152</v>
      </c>
      <c r="C176" t="s">
        <v>21</v>
      </c>
      <c r="D176" t="s">
        <v>28</v>
      </c>
      <c r="E176" t="s">
        <v>33</v>
      </c>
      <c r="F176" t="s">
        <v>19</v>
      </c>
      <c r="G176">
        <v>2</v>
      </c>
      <c r="H176">
        <v>65000</v>
      </c>
      <c r="I176" s="2">
        <f ca="1">Table1[[#This Row],[Discount_%]]/100</f>
        <v>0.15</v>
      </c>
      <c r="J176">
        <v>110500</v>
      </c>
      <c r="K176" t="s">
        <v>29</v>
      </c>
    </row>
    <row r="177" spans="1:11" x14ac:dyDescent="0.25">
      <c r="A177">
        <v>1176</v>
      </c>
      <c r="B177" s="1">
        <v>46065</v>
      </c>
      <c r="C177" t="s">
        <v>27</v>
      </c>
      <c r="D177" t="s">
        <v>24</v>
      </c>
      <c r="E177" t="s">
        <v>33</v>
      </c>
      <c r="F177" t="s">
        <v>19</v>
      </c>
      <c r="G177">
        <v>4</v>
      </c>
      <c r="H177">
        <v>65000</v>
      </c>
      <c r="I177" s="2">
        <f ca="1">Table1[[#This Row],[Discount_%]]/100</f>
        <v>0</v>
      </c>
      <c r="J177">
        <v>260000</v>
      </c>
      <c r="K177" t="s">
        <v>25</v>
      </c>
    </row>
    <row r="178" spans="1:11" hidden="1" x14ac:dyDescent="0.25">
      <c r="A178">
        <v>1177</v>
      </c>
      <c r="B178" s="1">
        <v>46136</v>
      </c>
      <c r="C178" t="s">
        <v>16</v>
      </c>
      <c r="D178" t="s">
        <v>28</v>
      </c>
      <c r="E178" t="s">
        <v>36</v>
      </c>
      <c r="F178" t="s">
        <v>31</v>
      </c>
      <c r="G178">
        <v>5</v>
      </c>
      <c r="H178">
        <v>12000</v>
      </c>
      <c r="I178" s="2">
        <f ca="1">Table1[[#This Row],[Discount_%]]/100</f>
        <v>0.05</v>
      </c>
      <c r="J178">
        <v>57000</v>
      </c>
      <c r="K178" t="s">
        <v>20</v>
      </c>
    </row>
    <row r="179" spans="1:11" hidden="1" x14ac:dyDescent="0.25">
      <c r="A179">
        <v>1178</v>
      </c>
      <c r="B179" s="1">
        <v>46195</v>
      </c>
      <c r="C179" t="s">
        <v>21</v>
      </c>
      <c r="D179" t="s">
        <v>17</v>
      </c>
      <c r="E179" t="s">
        <v>13</v>
      </c>
      <c r="F179" t="s">
        <v>14</v>
      </c>
      <c r="G179">
        <v>1</v>
      </c>
      <c r="H179">
        <v>80</v>
      </c>
      <c r="I179" s="2">
        <f ca="1">Table1[[#This Row],[Discount_%]]/100</f>
        <v>0</v>
      </c>
      <c r="J179">
        <v>80</v>
      </c>
      <c r="K179" t="s">
        <v>15</v>
      </c>
    </row>
    <row r="180" spans="1:11" x14ac:dyDescent="0.25">
      <c r="A180">
        <v>1179</v>
      </c>
      <c r="B180" s="1">
        <v>46023</v>
      </c>
      <c r="C180" t="s">
        <v>16</v>
      </c>
      <c r="D180" t="s">
        <v>24</v>
      </c>
      <c r="E180" t="s">
        <v>23</v>
      </c>
      <c r="F180" t="s">
        <v>19</v>
      </c>
      <c r="G180">
        <v>5</v>
      </c>
      <c r="H180">
        <v>700</v>
      </c>
      <c r="I180" s="2">
        <f ca="1">Table1[[#This Row],[Discount_%]]/100</f>
        <v>0.15</v>
      </c>
      <c r="J180">
        <v>2975</v>
      </c>
      <c r="K180" t="s">
        <v>20</v>
      </c>
    </row>
    <row r="181" spans="1:11" hidden="1" x14ac:dyDescent="0.25">
      <c r="A181">
        <v>1180</v>
      </c>
      <c r="B181" s="1">
        <v>46145</v>
      </c>
      <c r="C181" t="s">
        <v>27</v>
      </c>
      <c r="D181" t="s">
        <v>24</v>
      </c>
      <c r="E181" t="s">
        <v>13</v>
      </c>
      <c r="F181" t="s">
        <v>14</v>
      </c>
      <c r="G181">
        <v>3</v>
      </c>
      <c r="H181">
        <v>80</v>
      </c>
      <c r="I181" s="2">
        <f ca="1">Table1[[#This Row],[Discount_%]]/100</f>
        <v>0.05</v>
      </c>
      <c r="J181">
        <v>228</v>
      </c>
      <c r="K181" t="s">
        <v>20</v>
      </c>
    </row>
    <row r="182" spans="1:11" hidden="1" x14ac:dyDescent="0.25">
      <c r="A182">
        <v>1181</v>
      </c>
      <c r="B182" s="1">
        <v>46092</v>
      </c>
      <c r="C182" t="s">
        <v>21</v>
      </c>
      <c r="D182" t="s">
        <v>24</v>
      </c>
      <c r="E182" t="s">
        <v>36</v>
      </c>
      <c r="F182" t="s">
        <v>31</v>
      </c>
      <c r="G182">
        <v>5</v>
      </c>
      <c r="H182">
        <v>12000</v>
      </c>
      <c r="I182" s="2">
        <f ca="1">Table1[[#This Row],[Discount_%]]/100</f>
        <v>0.05</v>
      </c>
      <c r="J182">
        <v>57000</v>
      </c>
      <c r="K182" t="s">
        <v>25</v>
      </c>
    </row>
    <row r="183" spans="1:11" x14ac:dyDescent="0.25">
      <c r="A183">
        <v>1182</v>
      </c>
      <c r="B183" s="1">
        <v>46033</v>
      </c>
      <c r="C183" t="s">
        <v>11</v>
      </c>
      <c r="D183" t="s">
        <v>17</v>
      </c>
      <c r="E183" t="s">
        <v>41</v>
      </c>
      <c r="F183" t="s">
        <v>19</v>
      </c>
      <c r="G183">
        <v>1</v>
      </c>
      <c r="H183">
        <v>1500</v>
      </c>
      <c r="I183" s="2">
        <f ca="1">Table1[[#This Row],[Discount_%]]/100</f>
        <v>0</v>
      </c>
      <c r="J183">
        <v>1500</v>
      </c>
      <c r="K183" t="s">
        <v>25</v>
      </c>
    </row>
    <row r="184" spans="1:11" x14ac:dyDescent="0.25">
      <c r="A184">
        <v>1183</v>
      </c>
      <c r="B184" s="1">
        <v>46166</v>
      </c>
      <c r="C184" t="s">
        <v>43</v>
      </c>
      <c r="D184" t="s">
        <v>32</v>
      </c>
      <c r="E184" t="s">
        <v>41</v>
      </c>
      <c r="F184" t="s">
        <v>19</v>
      </c>
      <c r="G184">
        <v>1</v>
      </c>
      <c r="H184">
        <v>1500</v>
      </c>
      <c r="I184" s="2">
        <f ca="1">Table1[[#This Row],[Discount_%]]/100</f>
        <v>0.05</v>
      </c>
      <c r="J184">
        <v>1425</v>
      </c>
      <c r="K184" t="s">
        <v>25</v>
      </c>
    </row>
    <row r="185" spans="1:11" hidden="1" x14ac:dyDescent="0.25">
      <c r="A185">
        <v>1184</v>
      </c>
      <c r="B185" s="1">
        <v>46076</v>
      </c>
      <c r="C185" t="s">
        <v>42</v>
      </c>
      <c r="D185" t="s">
        <v>22</v>
      </c>
      <c r="E185" t="s">
        <v>36</v>
      </c>
      <c r="F185" t="s">
        <v>31</v>
      </c>
      <c r="G185">
        <v>1</v>
      </c>
      <c r="H185">
        <v>12000</v>
      </c>
      <c r="I185" s="2">
        <f ca="1">Table1[[#This Row],[Discount_%]]/100</f>
        <v>0</v>
      </c>
      <c r="J185">
        <v>12000</v>
      </c>
      <c r="K185" t="s">
        <v>29</v>
      </c>
    </row>
    <row r="186" spans="1:11" hidden="1" x14ac:dyDescent="0.25">
      <c r="A186">
        <v>1185</v>
      </c>
      <c r="B186" s="1">
        <v>46060</v>
      </c>
      <c r="C186" t="s">
        <v>27</v>
      </c>
      <c r="D186" t="s">
        <v>40</v>
      </c>
      <c r="E186" t="s">
        <v>30</v>
      </c>
      <c r="F186" t="s">
        <v>31</v>
      </c>
      <c r="G186">
        <v>2</v>
      </c>
      <c r="H186">
        <v>8500</v>
      </c>
      <c r="I186" s="2">
        <f ca="1">Table1[[#This Row],[Discount_%]]/100</f>
        <v>0</v>
      </c>
      <c r="J186">
        <v>17000</v>
      </c>
      <c r="K186" t="s">
        <v>25</v>
      </c>
    </row>
    <row r="187" spans="1:11" hidden="1" x14ac:dyDescent="0.25">
      <c r="A187">
        <v>1186</v>
      </c>
      <c r="B187" s="1">
        <v>46046</v>
      </c>
      <c r="C187" t="s">
        <v>38</v>
      </c>
      <c r="D187" t="s">
        <v>32</v>
      </c>
      <c r="E187" t="s">
        <v>13</v>
      </c>
      <c r="F187" t="s">
        <v>14</v>
      </c>
      <c r="G187">
        <v>4</v>
      </c>
      <c r="H187">
        <v>80</v>
      </c>
      <c r="I187" s="2">
        <f ca="1">Table1[[#This Row],[Discount_%]]/100</f>
        <v>0.1</v>
      </c>
      <c r="J187">
        <v>288</v>
      </c>
      <c r="K187" t="s">
        <v>20</v>
      </c>
    </row>
    <row r="188" spans="1:11" hidden="1" x14ac:dyDescent="0.25">
      <c r="A188">
        <v>1187</v>
      </c>
      <c r="B188" s="1">
        <v>46149</v>
      </c>
      <c r="C188" t="s">
        <v>27</v>
      </c>
      <c r="D188" t="s">
        <v>17</v>
      </c>
      <c r="E188" t="s">
        <v>13</v>
      </c>
      <c r="F188" t="s">
        <v>14</v>
      </c>
      <c r="G188">
        <v>5</v>
      </c>
      <c r="H188">
        <v>80</v>
      </c>
      <c r="I188" s="2">
        <f ca="1">Table1[[#This Row],[Discount_%]]/100</f>
        <v>0</v>
      </c>
      <c r="J188">
        <v>400</v>
      </c>
      <c r="K188" t="s">
        <v>15</v>
      </c>
    </row>
    <row r="189" spans="1:11" x14ac:dyDescent="0.25">
      <c r="A189">
        <v>1188</v>
      </c>
      <c r="B189" s="1">
        <v>46111</v>
      </c>
      <c r="C189" t="s">
        <v>43</v>
      </c>
      <c r="D189" t="s">
        <v>32</v>
      </c>
      <c r="E189" t="s">
        <v>33</v>
      </c>
      <c r="F189" t="s">
        <v>19</v>
      </c>
      <c r="G189">
        <v>2</v>
      </c>
      <c r="H189">
        <v>65000</v>
      </c>
      <c r="I189" s="2">
        <f ca="1">Table1[[#This Row],[Discount_%]]/100</f>
        <v>0.15</v>
      </c>
      <c r="J189">
        <v>110500</v>
      </c>
      <c r="K189" t="s">
        <v>15</v>
      </c>
    </row>
    <row r="190" spans="1:11" hidden="1" x14ac:dyDescent="0.25">
      <c r="A190">
        <v>1189</v>
      </c>
      <c r="B190" s="1">
        <v>46098</v>
      </c>
      <c r="C190" t="s">
        <v>21</v>
      </c>
      <c r="D190" t="s">
        <v>32</v>
      </c>
      <c r="E190" t="s">
        <v>34</v>
      </c>
      <c r="F190" t="s">
        <v>14</v>
      </c>
      <c r="G190">
        <v>2</v>
      </c>
      <c r="H190">
        <v>20</v>
      </c>
      <c r="I190" s="2">
        <f ca="1">Table1[[#This Row],[Discount_%]]/100</f>
        <v>0.15</v>
      </c>
      <c r="J190">
        <v>34</v>
      </c>
      <c r="K190" t="s">
        <v>29</v>
      </c>
    </row>
    <row r="191" spans="1:11" hidden="1" x14ac:dyDescent="0.25">
      <c r="A191">
        <v>1190</v>
      </c>
      <c r="B191" s="1">
        <v>46090</v>
      </c>
      <c r="C191" t="s">
        <v>39</v>
      </c>
      <c r="D191" t="s">
        <v>40</v>
      </c>
      <c r="E191" t="s">
        <v>13</v>
      </c>
      <c r="F191" t="s">
        <v>14</v>
      </c>
      <c r="G191">
        <v>5</v>
      </c>
      <c r="H191">
        <v>80</v>
      </c>
      <c r="I191" s="2">
        <f ca="1">Table1[[#This Row],[Discount_%]]/100</f>
        <v>0.1</v>
      </c>
      <c r="J191">
        <v>360</v>
      </c>
      <c r="K191" t="s">
        <v>20</v>
      </c>
    </row>
    <row r="192" spans="1:11" hidden="1" x14ac:dyDescent="0.25">
      <c r="A192">
        <v>1191</v>
      </c>
      <c r="B192" s="1">
        <v>46162</v>
      </c>
      <c r="C192" t="s">
        <v>43</v>
      </c>
      <c r="D192" t="s">
        <v>24</v>
      </c>
      <c r="E192" t="s">
        <v>34</v>
      </c>
      <c r="F192" t="s">
        <v>14</v>
      </c>
      <c r="G192">
        <v>1</v>
      </c>
      <c r="H192">
        <v>20</v>
      </c>
      <c r="I192" s="2">
        <f ca="1">Table1[[#This Row],[Discount_%]]/100</f>
        <v>0</v>
      </c>
      <c r="J192">
        <v>20</v>
      </c>
      <c r="K192" t="s">
        <v>25</v>
      </c>
    </row>
    <row r="193" spans="1:11" x14ac:dyDescent="0.25">
      <c r="A193">
        <v>1192</v>
      </c>
      <c r="B193" s="1">
        <v>46131</v>
      </c>
      <c r="C193" t="s">
        <v>11</v>
      </c>
      <c r="D193" t="s">
        <v>24</v>
      </c>
      <c r="E193" t="s">
        <v>33</v>
      </c>
      <c r="F193" t="s">
        <v>19</v>
      </c>
      <c r="G193">
        <v>4</v>
      </c>
      <c r="H193">
        <v>65000</v>
      </c>
      <c r="I193" s="2">
        <f ca="1">Table1[[#This Row],[Discount_%]]/100</f>
        <v>0.05</v>
      </c>
      <c r="J193">
        <v>247000</v>
      </c>
      <c r="K193" t="s">
        <v>25</v>
      </c>
    </row>
    <row r="194" spans="1:11" x14ac:dyDescent="0.25">
      <c r="A194">
        <v>1193</v>
      </c>
      <c r="B194" s="1">
        <v>46036</v>
      </c>
      <c r="C194" t="s">
        <v>35</v>
      </c>
      <c r="D194" t="s">
        <v>22</v>
      </c>
      <c r="E194" t="s">
        <v>18</v>
      </c>
      <c r="F194" t="s">
        <v>19</v>
      </c>
      <c r="G194">
        <v>3</v>
      </c>
      <c r="H194">
        <v>15000</v>
      </c>
      <c r="I194" s="2">
        <f ca="1">Table1[[#This Row],[Discount_%]]/100</f>
        <v>0.15</v>
      </c>
      <c r="J194">
        <v>38250</v>
      </c>
      <c r="K194" t="s">
        <v>37</v>
      </c>
    </row>
    <row r="195" spans="1:11" x14ac:dyDescent="0.25">
      <c r="A195">
        <v>1194</v>
      </c>
      <c r="B195" s="1">
        <v>46043</v>
      </c>
      <c r="C195" t="s">
        <v>21</v>
      </c>
      <c r="D195" t="s">
        <v>24</v>
      </c>
      <c r="E195" t="s">
        <v>23</v>
      </c>
      <c r="F195" t="s">
        <v>19</v>
      </c>
      <c r="G195">
        <v>1</v>
      </c>
      <c r="H195">
        <v>700</v>
      </c>
      <c r="I195" s="2">
        <f ca="1">Table1[[#This Row],[Discount_%]]/100</f>
        <v>0.15</v>
      </c>
      <c r="J195">
        <v>595</v>
      </c>
      <c r="K195" t="s">
        <v>25</v>
      </c>
    </row>
    <row r="196" spans="1:11" hidden="1" x14ac:dyDescent="0.25">
      <c r="A196">
        <v>1195</v>
      </c>
      <c r="B196" s="1">
        <v>46107</v>
      </c>
      <c r="C196" t="s">
        <v>16</v>
      </c>
      <c r="D196" t="s">
        <v>24</v>
      </c>
      <c r="E196" t="s">
        <v>13</v>
      </c>
      <c r="F196" t="s">
        <v>14</v>
      </c>
      <c r="G196">
        <v>2</v>
      </c>
      <c r="H196">
        <v>80</v>
      </c>
      <c r="I196" s="2">
        <f ca="1">Table1[[#This Row],[Discount_%]]/100</f>
        <v>0</v>
      </c>
      <c r="J196">
        <v>160</v>
      </c>
      <c r="K196" t="s">
        <v>29</v>
      </c>
    </row>
    <row r="197" spans="1:11" hidden="1" x14ac:dyDescent="0.25">
      <c r="A197">
        <v>1196</v>
      </c>
      <c r="B197" s="1">
        <v>46122</v>
      </c>
      <c r="C197" t="s">
        <v>43</v>
      </c>
      <c r="D197" t="s">
        <v>24</v>
      </c>
      <c r="E197" t="s">
        <v>34</v>
      </c>
      <c r="F197" t="s">
        <v>14</v>
      </c>
      <c r="G197">
        <v>1</v>
      </c>
      <c r="H197">
        <v>20</v>
      </c>
      <c r="I197" s="2">
        <f ca="1">Table1[[#This Row],[Discount_%]]/100</f>
        <v>0.05</v>
      </c>
      <c r="J197">
        <v>19</v>
      </c>
      <c r="K197" t="s">
        <v>15</v>
      </c>
    </row>
    <row r="198" spans="1:11" x14ac:dyDescent="0.25">
      <c r="A198">
        <v>1197</v>
      </c>
      <c r="B198" s="1">
        <v>46039</v>
      </c>
      <c r="C198" t="s">
        <v>38</v>
      </c>
      <c r="D198" t="s">
        <v>32</v>
      </c>
      <c r="E198" t="s">
        <v>23</v>
      </c>
      <c r="F198" t="s">
        <v>19</v>
      </c>
      <c r="G198">
        <v>3</v>
      </c>
      <c r="H198">
        <v>700</v>
      </c>
      <c r="I198" s="2">
        <f ca="1">Table1[[#This Row],[Discount_%]]/100</f>
        <v>0.05</v>
      </c>
      <c r="J198">
        <v>1995</v>
      </c>
      <c r="K198" t="s">
        <v>15</v>
      </c>
    </row>
    <row r="199" spans="1:11" hidden="1" x14ac:dyDescent="0.25">
      <c r="A199">
        <v>1198</v>
      </c>
      <c r="B199" s="1">
        <v>46067</v>
      </c>
      <c r="C199" t="s">
        <v>42</v>
      </c>
      <c r="D199" t="s">
        <v>12</v>
      </c>
      <c r="E199" t="s">
        <v>13</v>
      </c>
      <c r="F199" t="s">
        <v>14</v>
      </c>
      <c r="G199">
        <v>5</v>
      </c>
      <c r="H199">
        <v>80</v>
      </c>
      <c r="I199" s="2">
        <f ca="1">Table1[[#This Row],[Discount_%]]/100</f>
        <v>0.1</v>
      </c>
      <c r="J199">
        <v>360</v>
      </c>
      <c r="K199" t="s">
        <v>15</v>
      </c>
    </row>
    <row r="200" spans="1:11" x14ac:dyDescent="0.25">
      <c r="A200">
        <v>1199</v>
      </c>
      <c r="B200" s="1">
        <v>46063</v>
      </c>
      <c r="C200" t="s">
        <v>42</v>
      </c>
      <c r="D200" t="s">
        <v>12</v>
      </c>
      <c r="E200" t="s">
        <v>23</v>
      </c>
      <c r="F200" t="s">
        <v>19</v>
      </c>
      <c r="G200">
        <v>5</v>
      </c>
      <c r="H200">
        <v>700</v>
      </c>
      <c r="I200" s="2">
        <f ca="1">Table1[[#This Row],[Discount_%]]/100</f>
        <v>0.15</v>
      </c>
      <c r="J200">
        <v>2975</v>
      </c>
      <c r="K200" t="s">
        <v>37</v>
      </c>
    </row>
    <row r="201" spans="1:11" hidden="1" x14ac:dyDescent="0.25">
      <c r="A201">
        <v>1200</v>
      </c>
      <c r="B201" s="1">
        <v>46159</v>
      </c>
      <c r="C201" t="s">
        <v>38</v>
      </c>
      <c r="D201" t="s">
        <v>28</v>
      </c>
      <c r="E201" t="s">
        <v>13</v>
      </c>
      <c r="F201" t="s">
        <v>14</v>
      </c>
      <c r="G201">
        <v>5</v>
      </c>
      <c r="H201">
        <v>80</v>
      </c>
      <c r="I201" s="2">
        <f ca="1">Table1[[#This Row],[Discount_%]]/100</f>
        <v>0.05</v>
      </c>
      <c r="J201">
        <v>380</v>
      </c>
      <c r="K201" t="s">
        <v>37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ecommerce_dataset_200_rows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2026-07-05T13:38:33Z</dcterms:created>
  <dcterms:modified xsi:type="dcterms:W3CDTF">2026-07-26T11:14:01Z</dcterms:modified>
</cp:coreProperties>
</file>